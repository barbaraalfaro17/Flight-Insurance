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c8b8609897ec7c/Documentos/SAIT/SAIT/Semester 2/406 - Capstone/"/>
    </mc:Choice>
  </mc:AlternateContent>
  <xr:revisionPtr revIDLastSave="640" documentId="8_{65709CCB-85FD-4E1C-8182-4266785DE420}" xr6:coauthVersionLast="47" xr6:coauthVersionMax="47" xr10:uidLastSave="{CE02B9E7-B41C-423B-9E94-3F0ABFDA3B2F}"/>
  <bookViews>
    <workbookView minimized="1" xWindow="5760" yWindow="3360" windowWidth="17280" windowHeight="8880" xr2:uid="{DAD8E8CF-E431-43E3-9C88-9427CA5E55F8}"/>
  </bookViews>
  <sheets>
    <sheet name="Price Optimization" sheetId="2" r:id="rId1"/>
    <sheet name="Presentation" sheetId="8" r:id="rId2"/>
    <sheet name="Linear Regression" sheetId="4" r:id="rId3"/>
    <sheet name="Forecast" sheetId="5" r:id="rId4"/>
    <sheet name="Power BI" sheetId="7" r:id="rId5"/>
  </sheets>
  <definedNames>
    <definedName name="solver_adj" localSheetId="0" hidden="1">'Price Optimization'!$C$14:$E$14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'Price Optimization'!$C$9</definedName>
    <definedName name="solver_lhs2" localSheetId="0" hidden="1">'Price Optimization'!$C$14</definedName>
    <definedName name="solver_lhs3" localSheetId="0" hidden="1">'Price Optimization'!$D$9</definedName>
    <definedName name="solver_lhs4" localSheetId="0" hidden="1">'Price Optimization'!$E$9</definedName>
    <definedName name="solver_lhs5" localSheetId="0" hidden="1">'Price Optimization'!$E$14</definedName>
    <definedName name="solver_lhs6" localSheetId="0" hidden="1">'Price Optimization'!$E$14</definedName>
    <definedName name="solver_lhs7" localSheetId="0" hidden="1">'Price Optimization'!$E$14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'Price Optimization'!$C$5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hs1" localSheetId="0" hidden="1">0</definedName>
    <definedName name="solver_rhs2" localSheetId="0" hidden="1">0.3</definedName>
    <definedName name="solver_rhs3" localSheetId="0" hidden="1">0</definedName>
    <definedName name="solver_rhs4" localSheetId="0" hidden="1">0</definedName>
    <definedName name="solver_rhs5" localSheetId="0" hidden="1">-0.1</definedName>
    <definedName name="solver_rhs6" localSheetId="0" hidden="1">-0.1</definedName>
    <definedName name="solver_rhs7" localSheetId="0" hidden="1">-0.1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3" i="8"/>
  <c r="E5" i="2"/>
  <c r="E4" i="2"/>
  <c r="N2" i="2" l="1"/>
  <c r="M2" i="2"/>
  <c r="I2" i="2"/>
  <c r="H2" i="2"/>
  <c r="C31" i="2"/>
  <c r="M5" i="5"/>
  <c r="N5" i="5"/>
  <c r="O5" i="5"/>
  <c r="P5" i="5"/>
  <c r="M6" i="5"/>
  <c r="N6" i="5"/>
  <c r="O6" i="5"/>
  <c r="P6" i="5"/>
  <c r="M7" i="5"/>
  <c r="N7" i="5"/>
  <c r="O7" i="5"/>
  <c r="P7" i="5"/>
  <c r="Q7" i="5"/>
  <c r="P4" i="5"/>
  <c r="O4" i="5"/>
  <c r="N4" i="5"/>
  <c r="M4" i="5"/>
  <c r="J7" i="2"/>
  <c r="J6" i="2"/>
  <c r="L5" i="4"/>
  <c r="L4" i="4"/>
  <c r="Q4" i="5" l="1"/>
  <c r="Q5" i="5"/>
  <c r="Q6" i="5"/>
  <c r="C34" i="2"/>
  <c r="D13" i="2" l="1"/>
  <c r="E13" i="2"/>
  <c r="C13" i="2"/>
  <c r="C19" i="2" l="1"/>
  <c r="D12" i="2"/>
  <c r="D11" i="2" s="1"/>
  <c r="E12" i="2"/>
  <c r="E11" i="2" s="1"/>
  <c r="C12" i="2"/>
  <c r="C11" i="2" s="1"/>
  <c r="C40" i="2"/>
  <c r="C39" i="2" s="1"/>
  <c r="C33" i="2"/>
  <c r="C32" i="2" s="1"/>
  <c r="C30" i="2" l="1"/>
  <c r="C29" i="2" s="1"/>
  <c r="C37" i="2"/>
  <c r="C36" i="2" s="1"/>
  <c r="C9" i="2"/>
  <c r="E9" i="2"/>
  <c r="D9" i="2"/>
  <c r="C18" i="2"/>
  <c r="D8" i="2" l="1"/>
  <c r="K2" i="2"/>
  <c r="E8" i="2"/>
  <c r="L2" i="2"/>
  <c r="C8" i="2"/>
  <c r="J2" i="2"/>
  <c r="C26" i="2"/>
  <c r="C16" i="2"/>
  <c r="C15" i="2" s="1"/>
  <c r="C5" i="2" l="1"/>
  <c r="G2" i="2" s="1"/>
</calcChain>
</file>

<file path=xl/sharedStrings.xml><?xml version="1.0" encoding="utf-8"?>
<sst xmlns="http://schemas.openxmlformats.org/spreadsheetml/2006/main" count="416" uniqueCount="103">
  <si>
    <t>Profit</t>
  </si>
  <si>
    <t>Payout</t>
  </si>
  <si>
    <t>#Insurance_buyers</t>
  </si>
  <si>
    <t>#pass_onboard</t>
  </si>
  <si>
    <t>Target</t>
  </si>
  <si>
    <t>*standard premium = $46</t>
  </si>
  <si>
    <t>* standard</t>
  </si>
  <si>
    <t>%change in buyers</t>
  </si>
  <si>
    <t>*linear regression formula</t>
  </si>
  <si>
    <t>*forecasting</t>
  </si>
  <si>
    <t>%pass_buy_insurance</t>
  </si>
  <si>
    <t>*Optimize</t>
  </si>
  <si>
    <t>Profit = Sales - Payout</t>
  </si>
  <si>
    <t>Sales = #Insurance_buyers * Price_insurance</t>
  </si>
  <si>
    <t>Sales</t>
  </si>
  <si>
    <t>Price_insurance</t>
  </si>
  <si>
    <t>Price_payout</t>
  </si>
  <si>
    <t>%change in price</t>
  </si>
  <si>
    <t>Payout = #Insurance_buyers_delayed * Price_payout</t>
  </si>
  <si>
    <t>#Insurance_buyers = #pass_onboard * %pass_load_factor * %pass_buy_insurance</t>
  </si>
  <si>
    <t>%pass_buy_insurance = 70% * (1 + %change in buyers)</t>
  </si>
  <si>
    <t>%change in buyers = -0.8*%change in price + 0.02</t>
  </si>
  <si>
    <t>#Insurance_buyers_delayed = #pass_onboard_delayed * %pass_load_factor * %pass_buy_insurance</t>
  </si>
  <si>
    <t>Price_insurance = 46 + (1 + %change in price)</t>
  </si>
  <si>
    <t>SLOPE</t>
  </si>
  <si>
    <t>INTERCEPT</t>
  </si>
  <si>
    <t>high</t>
  </si>
  <si>
    <t>constraints</t>
  </si>
  <si>
    <t>#pass_onboard_payout</t>
  </si>
  <si>
    <t>#Insurance_buyers_payout</t>
  </si>
  <si>
    <t>price_change &lt;= 30%</t>
  </si>
  <si>
    <t>High Risk</t>
  </si>
  <si>
    <t>Low Risk</t>
  </si>
  <si>
    <t>Medium Risk</t>
  </si>
  <si>
    <t>Period</t>
  </si>
  <si>
    <t>Grand Total</t>
  </si>
  <si>
    <t>2022</t>
  </si>
  <si>
    <t>2023</t>
  </si>
  <si>
    <t>2024</t>
  </si>
  <si>
    <t>2025</t>
  </si>
  <si>
    <t>Row Labels</t>
  </si>
  <si>
    <t>Sales_high</t>
  </si>
  <si>
    <t>Sales_medium</t>
  </si>
  <si>
    <t>Sales_low</t>
  </si>
  <si>
    <t>*inc. Load_rate</t>
  </si>
  <si>
    <t>Fixed Forecast Profit</t>
  </si>
  <si>
    <t>P1</t>
  </si>
  <si>
    <t>P2</t>
  </si>
  <si>
    <t>Scenario</t>
  </si>
  <si>
    <t>Change in Price</t>
  </si>
  <si>
    <t>Change in # of Insurance Buyers</t>
  </si>
  <si>
    <t>P3</t>
  </si>
  <si>
    <t>P4</t>
  </si>
  <si>
    <t>P5</t>
  </si>
  <si>
    <t>P6</t>
  </si>
  <si>
    <t>P7</t>
  </si>
  <si>
    <t>P8</t>
  </si>
  <si>
    <t>P9</t>
  </si>
  <si>
    <t>P10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</si>
  <si>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</si>
  <si>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</si>
  <si>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</si>
  <si>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</si>
  <si>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</si>
  <si>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</si>
  <si>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</si>
  <si>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</si>
  <si>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</si>
  <si>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</si>
  <si>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</si>
  <si>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</si>
  <si>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</si>
  <si>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</si>
  <si>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</si>
  <si>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</si>
  <si>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</si>
  <si>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</si>
  <si>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</si>
  <si>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</si>
  <si>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</si>
  <si>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</si>
  <si>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</si>
  <si>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</si>
  <si>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INTERCEPTION</t>
  </si>
  <si>
    <t>Single price</t>
  </si>
  <si>
    <t>Type</t>
  </si>
  <si>
    <t>Risk_Category</t>
  </si>
  <si>
    <t>Passenger_Count</t>
  </si>
  <si>
    <t>Historical</t>
  </si>
  <si>
    <t>Forecast</t>
  </si>
  <si>
    <t>Column Labels</t>
  </si>
  <si>
    <t>Sum of Passenger_Count</t>
  </si>
  <si>
    <t>Year</t>
  </si>
  <si>
    <t>46 (1+x) = 0</t>
  </si>
  <si>
    <t>x = -1</t>
  </si>
  <si>
    <t>Current</t>
  </si>
  <si>
    <t>Single</t>
  </si>
  <si>
    <t>3 Tiers</t>
  </si>
  <si>
    <t>high delay</t>
  </si>
  <si>
    <t>moderate delay</t>
  </si>
  <si>
    <t>low delay</t>
  </si>
  <si>
    <t>increase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</si>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</sst>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10" fontId="0" fillId="0" borderId="0" xfId="0" applyNumberFormat="1"/>
    <xf numFmtId="9" fontId="0" fillId="0" borderId="0" xfId="3" applyFont="1"/>
    <xf numFmtId="0" fontId="5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0" fillId="0" borderId="0" xfId="1" applyFon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/>
    <xf numFmtId="9" fontId="0" fillId="0" borderId="0" xfId="3" applyFont="1" applyAlignment="1"/>
    <xf numFmtId="9" fontId="0" fillId="0" borderId="0" xfId="0" applyNumberForma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Continuous"/>
    </xf>
    <xf numFmtId="0" fontId="3" fillId="3" borderId="0" xfId="0" applyFont="1" applyFill="1"/>
    <xf numFmtId="44" fontId="3" fillId="3" borderId="0" xfId="2" applyFont="1" applyFill="1"/>
    <xf numFmtId="0" fontId="3" fillId="5" borderId="0" xfId="0" applyFont="1" applyFill="1"/>
    <xf numFmtId="44" fontId="4" fillId="2" borderId="0" xfId="2" applyFont="1" applyFill="1"/>
    <xf numFmtId="9" fontId="0" fillId="6" borderId="0" xfId="3" applyFont="1" applyFill="1"/>
    <xf numFmtId="10" fontId="0" fillId="6" borderId="0" xfId="3" applyNumberFormat="1" applyFont="1" applyFill="1"/>
    <xf numFmtId="0" fontId="4" fillId="0" borderId="1" xfId="0" applyFont="1" applyBorder="1"/>
    <xf numFmtId="0" fontId="4" fillId="4" borderId="0" xfId="0" applyFont="1" applyFill="1"/>
    <xf numFmtId="43" fontId="4" fillId="4" borderId="0" xfId="1" applyFont="1" applyFill="1"/>
    <xf numFmtId="44" fontId="4" fillId="4" borderId="0" xfId="0" applyNumberFormat="1" applyFont="1" applyFill="1"/>
    <xf numFmtId="10" fontId="0" fillId="0" borderId="0" xfId="3" applyNumberFormat="1" applyFont="1" applyFill="1" applyBorder="1" applyAlignment="1"/>
    <xf numFmtId="164" fontId="4" fillId="4" borderId="0" xfId="1" applyNumberFormat="1" applyFont="1" applyFill="1"/>
    <xf numFmtId="14" fontId="0" fillId="0" borderId="0" xfId="0" applyNumberFormat="1"/>
    <xf numFmtId="4" fontId="0" fillId="0" borderId="0" xfId="0" applyNumberFormat="1"/>
    <xf numFmtId="44" fontId="0" fillId="0" borderId="0" xfId="0" applyNumberFormat="1"/>
    <xf numFmtId="44" fontId="4" fillId="4" borderId="0" xfId="2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44" fontId="3" fillId="3" borderId="0" xfId="2" applyFont="1" applyFill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165" fontId="0" fillId="0" borderId="0" xfId="3" applyNumberFormat="1" applyFont="1"/>
    <xf numFmtId="10" fontId="0" fillId="0" borderId="0" xfId="3" applyNumberFormat="1" applyFont="1"/>
    <xf numFmtId="10" fontId="0" fillId="0" borderId="0" xfId="3" applyNumberFormat="1" applyFont="1" applyAlignment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254C6D"/>
      <color rgb="FFE97135"/>
      <color rgb="FFF2F2F2"/>
      <color rgb="FFFFFF99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rgbClr val="254C6D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Profit Comparison</a:t>
            </a:r>
          </a:p>
          <a:p>
            <a:pPr>
              <a:defRPr/>
            </a:pPr>
            <a:r>
              <a:rPr lang="en-CA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</a:p>
          <a:p>
            <a:pPr>
              <a:defRPr/>
            </a:pPr>
            <a:r>
              <a:rPr lang="en-CA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Presentation!$A$2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F2F2F2"/>
            </a:solidFill>
            <a:ln>
              <a:solidFill>
                <a:srgbClr val="254C6D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Presentation!$B$2</c:f>
              <c:numCache>
                <c:formatCode>_("$"* #,##0.00_);_("$"* \(#,##0.00\);_("$"* "-"??_);_(@_)</c:formatCode>
                <c:ptCount val="1"/>
                <c:pt idx="0">
                  <c:v>5263081220.5999994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C-41FD-B473-E537A6857C9F}"/>
            </c:ext>
          </c:extLst>
        </c:ser>
        <c:ser>
          <c:idx val="1"/>
          <c:order val="1"/>
          <c:tx>
            <c:strRef>
              <c:f>Presentation!$A$3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rgbClr val="254C6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Presentation!$B$3</c:f>
              <c:numCache>
                <c:formatCode>_("$"* #,##0.00_);_("$"* \(#,##0.00\);_("$"* "-"??_);_(@_)</c:formatCode>
                <c:ptCount val="1"/>
                <c:pt idx="0">
                  <c:v>5420242484.6255531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C-41FD-B473-E537A6857C9F}"/>
            </c:ext>
          </c:extLst>
        </c:ser>
        <c:ser>
          <c:idx val="2"/>
          <c:order val="2"/>
          <c:tx>
            <c:strRef>
              <c:f>Presentation!$A$4</c:f>
              <c:strCache>
                <c:ptCount val="1"/>
                <c:pt idx="0">
                  <c:v>3 Tiers</c:v>
                </c:pt>
              </c:strCache>
            </c:strRef>
          </c:tx>
          <c:spPr>
            <a:solidFill>
              <a:srgbClr val="E971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Presentation!$B$4</c:f>
              <c:numCache>
                <c:formatCode>_("$"* #,##0.00_);_("$"* \(#,##0.00\);_("$"* "-"??_);_(@_)</c:formatCode>
                <c:ptCount val="1"/>
                <c:pt idx="0">
                  <c:v>5435228196.7188234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C-41FD-B473-E537A6857C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1983711"/>
        <c:axId val="1851987071"/>
      </c:barChart>
      <c:catAx>
        <c:axId val="18519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1987071"/>
        <c:crosses val="autoZero"/>
        <c:auto val="1"/>
        <c:lblAlgn val="ctr"/>
        <c:lblOffset val="100"/>
        <c:noMultiLvlLbl val="0"/>
      </c:catAx>
      <c:valAx>
        <c:axId val="185198707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198371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CA">
                      <a:latin typeface="Arial" panose="020B0604020202020204" pitchFamily="34" charset="0"/>
                      <a:cs typeface="Arial" panose="020B0604020202020204" pitchFamily="34" charset="0"/>
                    </a:rPr>
                    <a:t>Profit</a:t>
                  </a:r>
                  <a:r>
                    <a:rPr lang="en-CA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($M)</a:t>
                  </a:r>
                  <a:endParaRPr lang="en-CA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02655733122115"/>
                  <c:y val="-0.738688474403821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Regression'!$B$2:$B$11</c:f>
              <c:numCache>
                <c:formatCode>General</c:formatCode>
                <c:ptCount val="10"/>
                <c:pt idx="0">
                  <c:v>0.05</c:v>
                </c:pt>
                <c:pt idx="1">
                  <c:v>-0.1</c:v>
                </c:pt>
                <c:pt idx="2">
                  <c:v>0.02</c:v>
                </c:pt>
                <c:pt idx="3">
                  <c:v>-0.03</c:v>
                </c:pt>
                <c:pt idx="4">
                  <c:v>7.0000000000000007E-2</c:v>
                </c:pt>
                <c:pt idx="5">
                  <c:v>-0.05</c:v>
                </c:pt>
                <c:pt idx="6">
                  <c:v>0.01</c:v>
                </c:pt>
                <c:pt idx="7">
                  <c:v>-0.08</c:v>
                </c:pt>
                <c:pt idx="8">
                  <c:v>0.04</c:v>
                </c:pt>
                <c:pt idx="9">
                  <c:v>-0.06</c:v>
                </c:pt>
              </c:numCache>
            </c:numRef>
          </c:xVal>
          <c:yVal>
            <c:numRef>
              <c:f>'Linear Regression'!$C$2:$C$11</c:f>
              <c:numCache>
                <c:formatCode>General</c:formatCode>
                <c:ptCount val="10"/>
                <c:pt idx="0">
                  <c:v>-0.02</c:v>
                </c:pt>
                <c:pt idx="1">
                  <c:v>0.1</c:v>
                </c:pt>
                <c:pt idx="2">
                  <c:v>-0.01</c:v>
                </c:pt>
                <c:pt idx="3">
                  <c:v>0.04</c:v>
                </c:pt>
                <c:pt idx="4">
                  <c:v>-0.03</c:v>
                </c:pt>
                <c:pt idx="5">
                  <c:v>0.06</c:v>
                </c:pt>
                <c:pt idx="6">
                  <c:v>-5.0000000000000001E-3</c:v>
                </c:pt>
                <c:pt idx="7">
                  <c:v>8.5000000000000006E-2</c:v>
                </c:pt>
                <c:pt idx="8">
                  <c:v>-1.7999999999999999E-2</c:v>
                </c:pt>
                <c:pt idx="9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6-4505-9527-1585DC6CE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898496"/>
        <c:axId val="982893216"/>
      </c:scatterChart>
      <c:valAx>
        <c:axId val="9828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93216"/>
        <c:crosses val="autoZero"/>
        <c:crossBetween val="midCat"/>
      </c:valAx>
      <c:valAx>
        <c:axId val="9828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9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2</xdr:row>
      <xdr:rowOff>121920</xdr:rowOff>
    </xdr:from>
    <xdr:to>
      <xdr:col>12</xdr:col>
      <xdr:colOff>167640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AE76E-9B5F-4ABA-EF64-6C9CABDDA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</xdr:colOff>
      <xdr:row>3</xdr:row>
      <xdr:rowOff>95250</xdr:rowOff>
    </xdr:from>
    <xdr:to>
      <xdr:col>19</xdr:col>
      <xdr:colOff>236220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4AD86-2E9F-476B-BB91-E25664521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 Alfaro" refreshedDate="45763.528586805558" createdVersion="8" refreshedVersion="8" minRefreshableVersion="3" recordCount="144" xr:uid="{818F0D9D-3954-4029-98C2-8000F9E1BD23}">
  <cacheSource type="worksheet">
    <worksheetSource ref="A1:D145" sheet="Forecast"/>
  </cacheSource>
  <cacheFields count="7">
    <cacheField name="Type" numFmtId="0">
      <sharedItems/>
    </cacheField>
    <cacheField name="Risk_Category" numFmtId="0">
      <sharedItems count="3">
        <s v="Low Risk"/>
        <s v="Medium Risk"/>
        <s v="High Risk"/>
      </sharedItems>
    </cacheField>
    <cacheField name="Passenger_Count" numFmtId="0">
      <sharedItems containsSemiMixedTypes="0" containsString="0" containsNumber="1" containsInteger="1" minValue="17862" maxValue="14468595"/>
    </cacheField>
    <cacheField name="Period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6"/>
    </cacheField>
    <cacheField name="Months (Period)" numFmtId="0" databaseField="0">
      <fieldGroup base="3">
        <rangePr groupBy="months" startDate="2022-01-01T00:00:00" endDate="2025-12-02T00:00:00"/>
        <groupItems count="14">
          <s v="&lt;2022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2-02"/>
        </groupItems>
      </fieldGroup>
    </cacheField>
    <cacheField name="Quarters (Period)" numFmtId="0" databaseField="0">
      <fieldGroup base="3">
        <rangePr groupBy="quarters" startDate="2022-01-01T00:00:00" endDate="2025-12-02T00:00:00"/>
        <groupItems count="6">
          <s v="&lt;2022-01-01"/>
          <s v="Qtr1"/>
          <s v="Qtr2"/>
          <s v="Qtr3"/>
          <s v="Qtr4"/>
          <s v="&gt;2025-12-02"/>
        </groupItems>
      </fieldGroup>
    </cacheField>
    <cacheField name="Years (Period)" numFmtId="0" databaseField="0">
      <fieldGroup base="3">
        <rangePr groupBy="years" startDate="2022-01-01T00:00:00" endDate="2025-12-02T00:00:00"/>
        <groupItems count="6">
          <s v="&lt;2022-01-01"/>
          <s v="2022"/>
          <s v="2023"/>
          <s v="2024"/>
          <s v="2025"/>
          <s v="&gt;2025-12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Historical"/>
    <x v="0"/>
    <n v="8750454"/>
    <x v="0"/>
  </r>
  <r>
    <s v="Historical"/>
    <x v="0"/>
    <n v="8833366"/>
    <x v="1"/>
  </r>
  <r>
    <s v="Historical"/>
    <x v="0"/>
    <n v="10192963"/>
    <x v="2"/>
  </r>
  <r>
    <s v="Historical"/>
    <x v="0"/>
    <n v="9832166"/>
    <x v="3"/>
  </r>
  <r>
    <s v="Historical"/>
    <x v="0"/>
    <n v="10216767"/>
    <x v="4"/>
  </r>
  <r>
    <s v="Historical"/>
    <x v="0"/>
    <n v="9894813"/>
    <x v="5"/>
  </r>
  <r>
    <s v="Historical"/>
    <x v="0"/>
    <n v="10337774"/>
    <x v="6"/>
  </r>
  <r>
    <s v="Historical"/>
    <x v="0"/>
    <n v="10111683"/>
    <x v="7"/>
  </r>
  <r>
    <s v="Historical"/>
    <x v="0"/>
    <n v="10154320"/>
    <x v="8"/>
  </r>
  <r>
    <s v="Historical"/>
    <x v="0"/>
    <n v="10982926"/>
    <x v="9"/>
  </r>
  <r>
    <s v="Historical"/>
    <x v="0"/>
    <n v="10120284"/>
    <x v="10"/>
  </r>
  <r>
    <s v="Historical"/>
    <x v="0"/>
    <n v="9813674"/>
    <x v="11"/>
  </r>
  <r>
    <s v="Historical"/>
    <x v="0"/>
    <n v="10040641"/>
    <x v="12"/>
  </r>
  <r>
    <s v="Historical"/>
    <x v="0"/>
    <n v="9775772"/>
    <x v="13"/>
  </r>
  <r>
    <s v="Historical"/>
    <x v="0"/>
    <n v="11182770"/>
    <x v="14"/>
  </r>
  <r>
    <s v="Historical"/>
    <x v="0"/>
    <n v="10145352"/>
    <x v="15"/>
  </r>
  <r>
    <s v="Historical"/>
    <x v="0"/>
    <n v="10971378"/>
    <x v="16"/>
  </r>
  <r>
    <s v="Historical"/>
    <x v="0"/>
    <n v="9978134"/>
    <x v="17"/>
  </r>
  <r>
    <s v="Historical"/>
    <x v="0"/>
    <n v="10275471"/>
    <x v="18"/>
  </r>
  <r>
    <s v="Historical"/>
    <x v="0"/>
    <n v="11630359"/>
    <x v="19"/>
  </r>
  <r>
    <s v="Historical"/>
    <x v="0"/>
    <n v="11013626"/>
    <x v="20"/>
  </r>
  <r>
    <s v="Historical"/>
    <x v="0"/>
    <n v="11886273"/>
    <x v="21"/>
  </r>
  <r>
    <s v="Historical"/>
    <x v="0"/>
    <n v="10761539"/>
    <x v="22"/>
  </r>
  <r>
    <s v="Historical"/>
    <x v="0"/>
    <n v="10886221"/>
    <x v="23"/>
  </r>
  <r>
    <s v="Historical"/>
    <x v="0"/>
    <n v="10018755"/>
    <x v="24"/>
  </r>
  <r>
    <s v="Historical"/>
    <x v="0"/>
    <n v="10145671"/>
    <x v="25"/>
  </r>
  <r>
    <s v="Historical"/>
    <x v="0"/>
    <n v="11299829"/>
    <x v="26"/>
  </r>
  <r>
    <s v="Historical"/>
    <x v="0"/>
    <n v="10809277"/>
    <x v="27"/>
  </r>
  <r>
    <s v="Historical"/>
    <x v="0"/>
    <n v="10648899"/>
    <x v="28"/>
  </r>
  <r>
    <s v="Historical"/>
    <x v="0"/>
    <n v="10824631"/>
    <x v="29"/>
  </r>
  <r>
    <s v="Historical"/>
    <x v="0"/>
    <n v="10544513"/>
    <x v="30"/>
  </r>
  <r>
    <s v="Historical"/>
    <x v="0"/>
    <n v="11242621"/>
    <x v="31"/>
  </r>
  <r>
    <s v="Historical"/>
    <x v="0"/>
    <n v="11731919"/>
    <x v="32"/>
  </r>
  <r>
    <s v="Historical"/>
    <x v="0"/>
    <n v="12536868"/>
    <x v="33"/>
  </r>
  <r>
    <s v="Historical"/>
    <x v="0"/>
    <n v="11630937"/>
    <x v="34"/>
  </r>
  <r>
    <s v="Historical"/>
    <x v="0"/>
    <n v="11790818"/>
    <x v="35"/>
  </r>
  <r>
    <s v="Forecast"/>
    <x v="0"/>
    <n v="11774744"/>
    <x v="36"/>
  </r>
  <r>
    <s v="Forecast"/>
    <x v="0"/>
    <n v="11949498"/>
    <x v="37"/>
  </r>
  <r>
    <s v="Forecast"/>
    <x v="0"/>
    <n v="13153925"/>
    <x v="38"/>
  </r>
  <r>
    <s v="Forecast"/>
    <x v="0"/>
    <n v="12716858"/>
    <x v="39"/>
  </r>
  <r>
    <s v="Forecast"/>
    <x v="0"/>
    <n v="12490257"/>
    <x v="40"/>
  </r>
  <r>
    <s v="Forecast"/>
    <x v="0"/>
    <n v="12759519"/>
    <x v="41"/>
  </r>
  <r>
    <s v="Forecast"/>
    <x v="0"/>
    <n v="12474259"/>
    <x v="42"/>
  </r>
  <r>
    <s v="Forecast"/>
    <x v="0"/>
    <n v="13031829"/>
    <x v="43"/>
  </r>
  <r>
    <s v="Forecast"/>
    <x v="0"/>
    <n v="13628477"/>
    <x v="44"/>
  </r>
  <r>
    <s v="Forecast"/>
    <x v="0"/>
    <n v="14468595"/>
    <x v="45"/>
  </r>
  <r>
    <s v="Forecast"/>
    <x v="0"/>
    <n v="13546656"/>
    <x v="46"/>
  </r>
  <r>
    <s v="Forecast"/>
    <x v="0"/>
    <n v="13679115"/>
    <x v="47"/>
  </r>
  <r>
    <s v="Historical"/>
    <x v="1"/>
    <n v="716051"/>
    <x v="0"/>
  </r>
  <r>
    <s v="Historical"/>
    <x v="1"/>
    <n v="551775"/>
    <x v="1"/>
  </r>
  <r>
    <s v="Historical"/>
    <x v="1"/>
    <n v="713976"/>
    <x v="2"/>
  </r>
  <r>
    <s v="Historical"/>
    <x v="1"/>
    <n v="635520"/>
    <x v="3"/>
  </r>
  <r>
    <s v="Historical"/>
    <x v="1"/>
    <n v="824054"/>
    <x v="4"/>
  </r>
  <r>
    <s v="Historical"/>
    <x v="1"/>
    <n v="862637"/>
    <x v="5"/>
  </r>
  <r>
    <s v="Historical"/>
    <x v="1"/>
    <n v="889894"/>
    <x v="6"/>
  </r>
  <r>
    <s v="Historical"/>
    <x v="1"/>
    <n v="809253"/>
    <x v="7"/>
  </r>
  <r>
    <s v="Historical"/>
    <x v="1"/>
    <n v="410093"/>
    <x v="8"/>
  </r>
  <r>
    <s v="Historical"/>
    <x v="1"/>
    <n v="389891"/>
    <x v="9"/>
  </r>
  <r>
    <s v="Historical"/>
    <x v="1"/>
    <n v="502413"/>
    <x v="10"/>
  </r>
  <r>
    <s v="Historical"/>
    <x v="1"/>
    <n v="1098881"/>
    <x v="11"/>
  </r>
  <r>
    <s v="Historical"/>
    <x v="1"/>
    <n v="943374"/>
    <x v="12"/>
  </r>
  <r>
    <s v="Historical"/>
    <x v="1"/>
    <n v="671018"/>
    <x v="13"/>
  </r>
  <r>
    <s v="Historical"/>
    <x v="1"/>
    <n v="794865"/>
    <x v="14"/>
  </r>
  <r>
    <s v="Historical"/>
    <x v="1"/>
    <n v="896664"/>
    <x v="15"/>
  </r>
  <r>
    <s v="Historical"/>
    <x v="1"/>
    <n v="873190"/>
    <x v="16"/>
  </r>
  <r>
    <s v="Historical"/>
    <x v="1"/>
    <n v="1367690"/>
    <x v="17"/>
  </r>
  <r>
    <s v="Historical"/>
    <x v="1"/>
    <n v="1544113"/>
    <x v="18"/>
  </r>
  <r>
    <s v="Historical"/>
    <x v="1"/>
    <n v="815496"/>
    <x v="19"/>
  </r>
  <r>
    <s v="Historical"/>
    <x v="1"/>
    <n v="704269"/>
    <x v="20"/>
  </r>
  <r>
    <s v="Historical"/>
    <x v="1"/>
    <n v="488233"/>
    <x v="21"/>
  </r>
  <r>
    <s v="Historical"/>
    <x v="1"/>
    <n v="375004"/>
    <x v="22"/>
  </r>
  <r>
    <s v="Historical"/>
    <x v="1"/>
    <n v="472908"/>
    <x v="23"/>
  </r>
  <r>
    <s v="Historical"/>
    <x v="1"/>
    <n v="933337"/>
    <x v="24"/>
  </r>
  <r>
    <s v="Historical"/>
    <x v="1"/>
    <n v="583251"/>
    <x v="25"/>
  </r>
  <r>
    <s v="Historical"/>
    <x v="1"/>
    <n v="714256"/>
    <x v="26"/>
  </r>
  <r>
    <s v="Historical"/>
    <x v="1"/>
    <n v="702002"/>
    <x v="27"/>
  </r>
  <r>
    <s v="Historical"/>
    <x v="1"/>
    <n v="1319414"/>
    <x v="28"/>
  </r>
  <r>
    <s v="Historical"/>
    <x v="1"/>
    <n v="1073346"/>
    <x v="29"/>
  </r>
  <r>
    <s v="Historical"/>
    <x v="1"/>
    <n v="1467746"/>
    <x v="30"/>
  </r>
  <r>
    <s v="Historical"/>
    <x v="1"/>
    <n v="1030784"/>
    <x v="31"/>
  </r>
  <r>
    <s v="Historical"/>
    <x v="1"/>
    <n v="466769"/>
    <x v="32"/>
  </r>
  <r>
    <s v="Historical"/>
    <x v="1"/>
    <n v="445453"/>
    <x v="33"/>
  </r>
  <r>
    <s v="Historical"/>
    <x v="1"/>
    <n v="772992"/>
    <x v="34"/>
  </r>
  <r>
    <s v="Historical"/>
    <x v="1"/>
    <n v="781947"/>
    <x v="35"/>
  </r>
  <r>
    <s v="Forecast"/>
    <x v="1"/>
    <n v="951652"/>
    <x v="36"/>
  </r>
  <r>
    <s v="Forecast"/>
    <x v="1"/>
    <n v="664297"/>
    <x v="37"/>
  </r>
  <r>
    <s v="Forecast"/>
    <x v="1"/>
    <n v="795698"/>
    <x v="38"/>
  </r>
  <r>
    <s v="Forecast"/>
    <x v="1"/>
    <n v="854348"/>
    <x v="39"/>
  </r>
  <r>
    <s v="Forecast"/>
    <x v="1"/>
    <n v="1104361"/>
    <x v="40"/>
  </r>
  <r>
    <s v="Forecast"/>
    <x v="1"/>
    <n v="1288803"/>
    <x v="41"/>
  </r>
  <r>
    <s v="Forecast"/>
    <x v="1"/>
    <n v="1564215"/>
    <x v="42"/>
  </r>
  <r>
    <s v="Forecast"/>
    <x v="1"/>
    <n v="945080"/>
    <x v="43"/>
  </r>
  <r>
    <s v="Forecast"/>
    <x v="1"/>
    <n v="645041"/>
    <x v="44"/>
  </r>
  <r>
    <s v="Forecast"/>
    <x v="1"/>
    <n v="508502"/>
    <x v="45"/>
  </r>
  <r>
    <s v="Forecast"/>
    <x v="1"/>
    <n v="580933"/>
    <x v="46"/>
  </r>
  <r>
    <s v="Forecast"/>
    <x v="1"/>
    <n v="625702"/>
    <x v="47"/>
  </r>
  <r>
    <s v="Historical"/>
    <x v="2"/>
    <n v="28045"/>
    <x v="0"/>
  </r>
  <r>
    <s v="Historical"/>
    <x v="2"/>
    <n v="26936"/>
    <x v="1"/>
  </r>
  <r>
    <s v="Historical"/>
    <x v="2"/>
    <n v="35857"/>
    <x v="2"/>
  </r>
  <r>
    <s v="Historical"/>
    <x v="2"/>
    <n v="35137"/>
    <x v="3"/>
  </r>
  <r>
    <s v="Historical"/>
    <x v="2"/>
    <n v="46761"/>
    <x v="4"/>
  </r>
  <r>
    <s v="Historical"/>
    <x v="2"/>
    <n v="47003"/>
    <x v="5"/>
  </r>
  <r>
    <s v="Historical"/>
    <x v="2"/>
    <n v="37614"/>
    <x v="6"/>
  </r>
  <r>
    <s v="Historical"/>
    <x v="2"/>
    <n v="45887"/>
    <x v="7"/>
  </r>
  <r>
    <s v="Historical"/>
    <x v="2"/>
    <n v="19060"/>
    <x v="8"/>
  </r>
  <r>
    <s v="Historical"/>
    <x v="2"/>
    <n v="21487"/>
    <x v="9"/>
  </r>
  <r>
    <s v="Historical"/>
    <x v="2"/>
    <n v="24490"/>
    <x v="10"/>
  </r>
  <r>
    <s v="Historical"/>
    <x v="2"/>
    <n v="57903"/>
    <x v="11"/>
  </r>
  <r>
    <s v="Historical"/>
    <x v="2"/>
    <n v="36007"/>
    <x v="12"/>
  </r>
  <r>
    <s v="Historical"/>
    <x v="2"/>
    <n v="29319"/>
    <x v="13"/>
  </r>
  <r>
    <s v="Historical"/>
    <x v="2"/>
    <n v="28316"/>
    <x v="14"/>
  </r>
  <r>
    <s v="Historical"/>
    <x v="2"/>
    <n v="49925"/>
    <x v="15"/>
  </r>
  <r>
    <s v="Historical"/>
    <x v="2"/>
    <n v="38054"/>
    <x v="16"/>
  </r>
  <r>
    <s v="Historical"/>
    <x v="2"/>
    <n v="74564"/>
    <x v="17"/>
  </r>
  <r>
    <s v="Historical"/>
    <x v="2"/>
    <n v="69319"/>
    <x v="18"/>
  </r>
  <r>
    <s v="Historical"/>
    <x v="2"/>
    <n v="38890"/>
    <x v="19"/>
  </r>
  <r>
    <s v="Historical"/>
    <x v="2"/>
    <n v="38787"/>
    <x v="20"/>
  </r>
  <r>
    <s v="Historical"/>
    <x v="2"/>
    <n v="26096"/>
    <x v="21"/>
  </r>
  <r>
    <s v="Historical"/>
    <x v="2"/>
    <n v="19355"/>
    <x v="22"/>
  </r>
  <r>
    <s v="Historical"/>
    <x v="2"/>
    <n v="33582"/>
    <x v="23"/>
  </r>
  <r>
    <s v="Historical"/>
    <x v="2"/>
    <n v="67737"/>
    <x v="24"/>
  </r>
  <r>
    <s v="Historical"/>
    <x v="2"/>
    <n v="32590"/>
    <x v="25"/>
  </r>
  <r>
    <s v="Historical"/>
    <x v="2"/>
    <n v="29156"/>
    <x v="26"/>
  </r>
  <r>
    <s v="Historical"/>
    <x v="2"/>
    <n v="30670"/>
    <x v="27"/>
  </r>
  <r>
    <s v="Historical"/>
    <x v="2"/>
    <n v="55909"/>
    <x v="28"/>
  </r>
  <r>
    <s v="Historical"/>
    <x v="2"/>
    <n v="48004"/>
    <x v="29"/>
  </r>
  <r>
    <s v="Historical"/>
    <x v="2"/>
    <n v="56318"/>
    <x v="30"/>
  </r>
  <r>
    <s v="Historical"/>
    <x v="2"/>
    <n v="53983"/>
    <x v="31"/>
  </r>
  <r>
    <s v="Historical"/>
    <x v="2"/>
    <n v="22302"/>
    <x v="32"/>
  </r>
  <r>
    <s v="Historical"/>
    <x v="2"/>
    <n v="17862"/>
    <x v="33"/>
  </r>
  <r>
    <s v="Historical"/>
    <x v="2"/>
    <n v="27231"/>
    <x v="34"/>
  </r>
  <r>
    <s v="Historical"/>
    <x v="2"/>
    <n v="42572"/>
    <x v="35"/>
  </r>
  <r>
    <s v="Forecast"/>
    <x v="2"/>
    <n v="37189"/>
    <x v="36"/>
  </r>
  <r>
    <s v="Forecast"/>
    <x v="2"/>
    <n v="31099"/>
    <x v="37"/>
  </r>
  <r>
    <s v="Forecast"/>
    <x v="2"/>
    <n v="32058"/>
    <x v="38"/>
  </r>
  <r>
    <s v="Forecast"/>
    <x v="2"/>
    <n v="48213"/>
    <x v="39"/>
  </r>
  <r>
    <s v="Forecast"/>
    <x v="2"/>
    <n v="43084"/>
    <x v="40"/>
  </r>
  <r>
    <s v="Forecast"/>
    <x v="2"/>
    <n v="69597"/>
    <x v="41"/>
  </r>
  <r>
    <s v="Forecast"/>
    <x v="2"/>
    <n v="64811"/>
    <x v="42"/>
  </r>
  <r>
    <s v="Forecast"/>
    <x v="2"/>
    <n v="43465"/>
    <x v="43"/>
  </r>
  <r>
    <s v="Forecast"/>
    <x v="2"/>
    <n v="36955"/>
    <x v="44"/>
  </r>
  <r>
    <s v="Forecast"/>
    <x v="2"/>
    <n v="27647"/>
    <x v="45"/>
  </r>
  <r>
    <s v="Forecast"/>
    <x v="2"/>
    <n v="23773"/>
    <x v="46"/>
  </r>
  <r>
    <s v="Forecast"/>
    <x v="2"/>
    <n v="40618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C818A-39AC-4A3A-86F2-38B0C759324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H2:L7" firstHeaderRow="1" firstDataRow="2" firstDataCol="1"/>
  <pivotFields count="7">
    <pivotField showAll="0"/>
    <pivotField axis="axisCol" showAll="0">
      <items count="4">
        <item x="2"/>
        <item x="1"/>
        <item x="0"/>
        <item t="default"/>
      </items>
    </pivotField>
    <pivotField dataField="1" showAll="0"/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4">
    <i>
      <x v="1"/>
    </i>
    <i>
      <x v="2"/>
    </i>
    <i>
      <x v="3"/>
    </i>
    <i>
      <x v="4"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assenger_Count" fld="2" baseField="6" baseItem="2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0D06-28A6-4365-B3DF-4B0B51972276}">
  <dimension ref="A2:N41"/>
  <sheetViews>
    <sheetView tabSelected="1" topLeftCell="A6" zoomScale="85" zoomScaleNormal="85" workbookViewId="0">
      <selection activeCell="C25" sqref="C25"/>
    </sheetView>
  </sheetViews>
  <sheetFormatPr defaultRowHeight="14.4" x14ac:dyDescent="0.3"/>
  <cols>
    <col min="2" max="2" width="25.88671875" customWidth="1"/>
    <col min="3" max="3" width="23" customWidth="1"/>
    <col min="4" max="5" width="18.77734375" customWidth="1"/>
    <col min="9" max="9" width="14.88671875" customWidth="1"/>
    <col min="10" max="10" width="26.21875" bestFit="1" customWidth="1"/>
    <col min="12" max="12" width="10.109375" customWidth="1"/>
  </cols>
  <sheetData>
    <row r="2" spans="1:14" ht="18" x14ac:dyDescent="0.3">
      <c r="B2" s="40" t="s">
        <v>97</v>
      </c>
      <c r="C2" s="40"/>
      <c r="D2" s="40"/>
      <c r="E2" s="40"/>
      <c r="G2" s="38">
        <f>MAX($C$5)</f>
        <v>5435228196.7188234</v>
      </c>
      <c r="H2">
        <f>COUNT($C$14:$E$14)</f>
        <v>3</v>
      </c>
      <c r="I2" t="b">
        <f>$C$14&lt;=0.3</f>
        <v>1</v>
      </c>
      <c r="J2" t="b">
        <f>$C$9&gt;=0</f>
        <v>1</v>
      </c>
      <c r="K2" t="b">
        <f>$D$9&gt;=0</f>
        <v>1</v>
      </c>
      <c r="L2" t="b">
        <f>$E$9&gt;=0</f>
        <v>1</v>
      </c>
      <c r="M2">
        <f>{32767,32767,0.000001,0.01,FALSE,FALSE,TRUE,1,1,1,0.0001,TRUE}</f>
        <v>32767</v>
      </c>
      <c r="N2">
        <f>{0,0,1,100,0,FALSE,TRUE,0.075,0,0,FALSE,30}</f>
        <v>0</v>
      </c>
    </row>
    <row r="3" spans="1:14" ht="15" customHeight="1" x14ac:dyDescent="0.3"/>
    <row r="4" spans="1:14" x14ac:dyDescent="0.3">
      <c r="B4" t="s">
        <v>45</v>
      </c>
      <c r="C4" s="7">
        <v>5263081220.5999994</v>
      </c>
      <c r="E4" s="38">
        <f>C5-C4</f>
        <v>172146976.11882401</v>
      </c>
    </row>
    <row r="5" spans="1:14" x14ac:dyDescent="0.3">
      <c r="B5" s="26" t="s">
        <v>0</v>
      </c>
      <c r="C5" s="27">
        <f>SUM(C8:E8)-SUM(C15:E15)</f>
        <v>5435228196.7188234</v>
      </c>
      <c r="D5" t="s">
        <v>11</v>
      </c>
      <c r="E5" s="3">
        <f>E4/C4</f>
        <v>3.2708401961389258E-2</v>
      </c>
    </row>
    <row r="6" spans="1:14" ht="15" thickBot="1" x14ac:dyDescent="0.35">
      <c r="I6" s="30" t="s">
        <v>24</v>
      </c>
      <c r="J6" s="18">
        <f>'Linear Regression'!L4</f>
        <v>-0.824543415571932</v>
      </c>
    </row>
    <row r="7" spans="1:14" x14ac:dyDescent="0.3">
      <c r="C7" s="5" t="s">
        <v>98</v>
      </c>
      <c r="D7" s="5" t="s">
        <v>99</v>
      </c>
      <c r="E7" s="6" t="s">
        <v>100</v>
      </c>
      <c r="I7" s="30" t="s">
        <v>25</v>
      </c>
      <c r="J7" s="18">
        <f>'Linear Regression'!L5</f>
        <v>1.6480935597564889E-2</v>
      </c>
    </row>
    <row r="8" spans="1:14" x14ac:dyDescent="0.3">
      <c r="B8" s="24" t="s">
        <v>14</v>
      </c>
      <c r="C8" s="25">
        <f>C9*C13</f>
        <v>16049634.719535593</v>
      </c>
      <c r="D8" s="25">
        <f>D9*D13</f>
        <v>348396164.05326408</v>
      </c>
      <c r="E8" s="25">
        <f>E9*E13</f>
        <v>5151298960.0841627</v>
      </c>
    </row>
    <row r="9" spans="1:14" x14ac:dyDescent="0.3">
      <c r="B9" s="31" t="s">
        <v>2</v>
      </c>
      <c r="C9" s="35">
        <f>C10*C11</f>
        <v>268388.5404604614</v>
      </c>
      <c r="D9" s="35">
        <f t="shared" ref="D9:E9" si="0">D10*D11</f>
        <v>6784220.9907583185</v>
      </c>
      <c r="E9" s="35">
        <f t="shared" si="0"/>
        <v>100309735.87388027</v>
      </c>
    </row>
    <row r="10" spans="1:14" x14ac:dyDescent="0.3">
      <c r="A10" t="s">
        <v>44</v>
      </c>
      <c r="B10" t="s">
        <v>3</v>
      </c>
      <c r="C10" s="12">
        <v>498509</v>
      </c>
      <c r="D10" s="12">
        <v>10528632</v>
      </c>
      <c r="E10" s="12">
        <v>155673732</v>
      </c>
      <c r="F10" t="s">
        <v>9</v>
      </c>
      <c r="I10" t="s">
        <v>12</v>
      </c>
    </row>
    <row r="11" spans="1:14" x14ac:dyDescent="0.3">
      <c r="B11" t="s">
        <v>10</v>
      </c>
      <c r="C11" s="2">
        <f>70%*(1+C12)</f>
        <v>0.53838253764818966</v>
      </c>
      <c r="D11" s="2">
        <f t="shared" ref="D11:E11" si="1">70%*(1+D12)</f>
        <v>0.64435920932162116</v>
      </c>
      <c r="E11" s="2">
        <f t="shared" si="1"/>
        <v>0.64435877899991678</v>
      </c>
      <c r="I11" t="s">
        <v>13</v>
      </c>
    </row>
    <row r="12" spans="1:14" x14ac:dyDescent="0.3">
      <c r="B12" s="4" t="s">
        <v>7</v>
      </c>
      <c r="C12" s="47">
        <f>$J$6*C14+$J$7</f>
        <v>-0.2308820890740147</v>
      </c>
      <c r="D12" s="47">
        <f>$J$6*D14+$J$7</f>
        <v>-7.9486843826255538E-2</v>
      </c>
      <c r="E12" s="47">
        <f>$J$6*E14+$J$7</f>
        <v>-7.9487458571547334E-2</v>
      </c>
      <c r="F12" t="s">
        <v>8</v>
      </c>
      <c r="I12" t="s">
        <v>18</v>
      </c>
    </row>
    <row r="13" spans="1:14" x14ac:dyDescent="0.3">
      <c r="B13" s="31" t="s">
        <v>15</v>
      </c>
      <c r="C13" s="33">
        <f>46*(1 + C14)</f>
        <v>59.800000000000004</v>
      </c>
      <c r="D13" s="33">
        <f t="shared" ref="D13:E13" si="2">46*(1 + D14)</f>
        <v>51.353893767296263</v>
      </c>
      <c r="E13" s="33">
        <f t="shared" si="2"/>
        <v>51.353928062983897</v>
      </c>
      <c r="F13" t="s">
        <v>5</v>
      </c>
    </row>
    <row r="14" spans="1:14" x14ac:dyDescent="0.3">
      <c r="B14" s="4" t="s">
        <v>17</v>
      </c>
      <c r="C14" s="29">
        <v>0.3</v>
      </c>
      <c r="D14" s="29">
        <v>0.11638899494122312</v>
      </c>
      <c r="E14" s="29">
        <v>0.11638974049964999</v>
      </c>
      <c r="F14" t="s">
        <v>4</v>
      </c>
      <c r="I14" t="s">
        <v>19</v>
      </c>
    </row>
    <row r="15" spans="1:14" x14ac:dyDescent="0.3">
      <c r="B15" s="24" t="s">
        <v>1</v>
      </c>
      <c r="C15" s="41">
        <f>C16*C20</f>
        <v>80516562.138138413</v>
      </c>
      <c r="D15" s="41"/>
      <c r="E15" s="41"/>
      <c r="I15" t="s">
        <v>22</v>
      </c>
    </row>
    <row r="16" spans="1:14" x14ac:dyDescent="0.3">
      <c r="B16" s="31" t="s">
        <v>29</v>
      </c>
      <c r="C16" s="42">
        <f>C17*C18</f>
        <v>268388.5404604614</v>
      </c>
      <c r="D16" s="42"/>
      <c r="E16" s="42"/>
      <c r="I16" t="s">
        <v>20</v>
      </c>
    </row>
    <row r="17" spans="2:10" x14ac:dyDescent="0.3">
      <c r="B17" t="s">
        <v>28</v>
      </c>
      <c r="C17" s="43">
        <v>498509</v>
      </c>
      <c r="D17" s="43"/>
      <c r="E17" s="43"/>
      <c r="I17" t="s">
        <v>21</v>
      </c>
    </row>
    <row r="18" spans="2:10" x14ac:dyDescent="0.3">
      <c r="B18" t="s">
        <v>10</v>
      </c>
      <c r="C18" s="44">
        <f>C11</f>
        <v>0.53838253764818966</v>
      </c>
      <c r="D18" s="44"/>
      <c r="E18" s="44"/>
    </row>
    <row r="19" spans="2:10" x14ac:dyDescent="0.3">
      <c r="B19" s="4" t="s">
        <v>7</v>
      </c>
      <c r="C19" s="45">
        <f>$J$6*C14+$J$7</f>
        <v>-0.2308820890740147</v>
      </c>
      <c r="D19" s="45"/>
      <c r="E19" s="45"/>
      <c r="I19" t="s">
        <v>23</v>
      </c>
    </row>
    <row r="20" spans="2:10" x14ac:dyDescent="0.3">
      <c r="B20" s="31" t="s">
        <v>16</v>
      </c>
      <c r="C20" s="39">
        <v>300</v>
      </c>
      <c r="D20" s="39"/>
      <c r="E20" s="39"/>
    </row>
    <row r="21" spans="2:10" x14ac:dyDescent="0.3">
      <c r="F21" t="s">
        <v>6</v>
      </c>
      <c r="I21" s="1" t="s">
        <v>27</v>
      </c>
    </row>
    <row r="22" spans="2:10" x14ac:dyDescent="0.3">
      <c r="I22" t="s">
        <v>26</v>
      </c>
      <c r="J22" t="s">
        <v>30</v>
      </c>
    </row>
    <row r="23" spans="2:10" ht="18" x14ac:dyDescent="0.3">
      <c r="B23" s="40" t="s">
        <v>84</v>
      </c>
      <c r="C23" s="40"/>
      <c r="D23" s="40"/>
      <c r="E23" s="40"/>
      <c r="J23" s="8"/>
    </row>
    <row r="24" spans="2:10" x14ac:dyDescent="0.3">
      <c r="B24" s="1"/>
      <c r="C24" s="1"/>
      <c r="D24" s="1"/>
      <c r="E24" s="1"/>
      <c r="J24" s="8"/>
    </row>
    <row r="25" spans="2:10" x14ac:dyDescent="0.3">
      <c r="C25" s="7">
        <v>5263081220.5999994</v>
      </c>
    </row>
    <row r="26" spans="2:10" x14ac:dyDescent="0.3">
      <c r="B26" s="26" t="s">
        <v>0</v>
      </c>
      <c r="C26" s="27">
        <f>SUM(C29:E29)-SUM(C36:E36)</f>
        <v>5420242484.6255531</v>
      </c>
      <c r="D26" t="s">
        <v>11</v>
      </c>
    </row>
    <row r="27" spans="2:10" ht="15" thickBot="1" x14ac:dyDescent="0.35">
      <c r="J27" t="s">
        <v>93</v>
      </c>
    </row>
    <row r="28" spans="2:10" x14ac:dyDescent="0.3">
      <c r="C28" s="5"/>
      <c r="D28" s="5"/>
      <c r="E28" s="6"/>
      <c r="J28" s="15" t="s">
        <v>94</v>
      </c>
    </row>
    <row r="29" spans="2:10" x14ac:dyDescent="0.3">
      <c r="B29" s="24" t="s">
        <v>14</v>
      </c>
      <c r="C29" s="25">
        <f>C30*C34</f>
        <v>5515846171.1698008</v>
      </c>
      <c r="D29" s="24"/>
      <c r="E29" s="24"/>
    </row>
    <row r="30" spans="2:10" x14ac:dyDescent="0.3">
      <c r="B30" s="32" t="s">
        <v>2</v>
      </c>
      <c r="C30" s="32">
        <f>C31*C32</f>
        <v>106565899.57215358</v>
      </c>
      <c r="D30" s="32"/>
      <c r="E30" s="32"/>
    </row>
    <row r="31" spans="2:10" x14ac:dyDescent="0.3">
      <c r="B31" t="s">
        <v>3</v>
      </c>
      <c r="C31" s="12">
        <f>SUM(C10:E10)</f>
        <v>166700873</v>
      </c>
      <c r="D31" s="12"/>
      <c r="E31" s="12"/>
    </row>
    <row r="32" spans="2:10" x14ac:dyDescent="0.3">
      <c r="B32" t="s">
        <v>10</v>
      </c>
      <c r="C32" s="2">
        <f>70%*(1+C33)</f>
        <v>0.63926419612783658</v>
      </c>
      <c r="D32" s="2"/>
      <c r="E32" s="2"/>
    </row>
    <row r="33" spans="2:5" x14ac:dyDescent="0.3">
      <c r="B33" s="4" t="s">
        <v>7</v>
      </c>
      <c r="C33" s="47">
        <f>J6*C35+J7</f>
        <v>-8.676543410309058E-2</v>
      </c>
      <c r="D33" s="3"/>
      <c r="E33" s="3"/>
    </row>
    <row r="34" spans="2:5" x14ac:dyDescent="0.3">
      <c r="B34" s="31" t="s">
        <v>15</v>
      </c>
      <c r="C34" s="32">
        <f>46*(1 + C35)</f>
        <v>51.759955044860618</v>
      </c>
      <c r="D34" s="32"/>
      <c r="E34" s="32"/>
    </row>
    <row r="35" spans="2:5" x14ac:dyDescent="0.3">
      <c r="B35" s="4" t="s">
        <v>17</v>
      </c>
      <c r="C35" s="29">
        <v>0.125216414018709</v>
      </c>
      <c r="D35" s="28"/>
      <c r="E35" s="28"/>
    </row>
    <row r="36" spans="2:5" x14ac:dyDescent="0.3">
      <c r="B36" s="25" t="s">
        <v>1</v>
      </c>
      <c r="C36" s="25">
        <f>C37*C41</f>
        <v>95603686.544247508</v>
      </c>
      <c r="D36" s="25"/>
      <c r="E36" s="25"/>
    </row>
    <row r="37" spans="2:5" x14ac:dyDescent="0.3">
      <c r="B37" s="32" t="s">
        <v>29</v>
      </c>
      <c r="C37" s="32">
        <f>C38*C39</f>
        <v>318678.95514749171</v>
      </c>
      <c r="D37" s="32"/>
      <c r="E37" s="32"/>
    </row>
    <row r="38" spans="2:5" x14ac:dyDescent="0.3">
      <c r="B38" t="s">
        <v>28</v>
      </c>
      <c r="C38" s="12">
        <v>498509</v>
      </c>
      <c r="D38" s="13"/>
      <c r="E38" s="13"/>
    </row>
    <row r="39" spans="2:5" x14ac:dyDescent="0.3">
      <c r="B39" t="s">
        <v>10</v>
      </c>
      <c r="C39" s="2">
        <f>70%*(1+C40)</f>
        <v>0.63926419612783658</v>
      </c>
      <c r="D39" s="2"/>
      <c r="E39" s="2"/>
    </row>
    <row r="40" spans="2:5" x14ac:dyDescent="0.3">
      <c r="B40" s="4" t="s">
        <v>7</v>
      </c>
      <c r="C40" s="48">
        <f>J6*C35+J7</f>
        <v>-8.676543410309058E-2</v>
      </c>
      <c r="D40" s="14"/>
      <c r="E40" s="14"/>
    </row>
    <row r="41" spans="2:5" x14ac:dyDescent="0.3">
      <c r="B41" s="32" t="s">
        <v>16</v>
      </c>
      <c r="C41" s="32">
        <v>300</v>
      </c>
      <c r="D41" s="32"/>
      <c r="E41" s="32"/>
    </row>
  </sheetData>
  <mergeCells count="8">
    <mergeCell ref="C20:E20"/>
    <mergeCell ref="B2:E2"/>
    <mergeCell ref="B23:E23"/>
    <mergeCell ref="C15:E15"/>
    <mergeCell ref="C16:E16"/>
    <mergeCell ref="C17:E17"/>
    <mergeCell ref="C18:E18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CD1B-FBCC-4459-93D5-3700C97DF63B}">
  <dimension ref="A1:C4"/>
  <sheetViews>
    <sheetView showGridLines="0" workbookViewId="0">
      <selection activeCell="Q10" sqref="Q10"/>
    </sheetView>
  </sheetViews>
  <sheetFormatPr defaultRowHeight="14.4" x14ac:dyDescent="0.3"/>
  <cols>
    <col min="2" max="2" width="17.77734375" bestFit="1" customWidth="1"/>
  </cols>
  <sheetData>
    <row r="1" spans="1:3" x14ac:dyDescent="0.3">
      <c r="B1" t="s">
        <v>102</v>
      </c>
      <c r="C1" t="s">
        <v>101</v>
      </c>
    </row>
    <row r="2" spans="1:3" x14ac:dyDescent="0.3">
      <c r="A2" t="s">
        <v>95</v>
      </c>
      <c r="B2" s="49">
        <v>5263081220.5999994</v>
      </c>
    </row>
    <row r="3" spans="1:3" x14ac:dyDescent="0.3">
      <c r="A3" t="s">
        <v>96</v>
      </c>
      <c r="B3" s="49">
        <v>5420242484.6255531</v>
      </c>
      <c r="C3" s="46">
        <f>(B3-B2)/B2</f>
        <v>2.9861075183566534E-2</v>
      </c>
    </row>
    <row r="4" spans="1:3" x14ac:dyDescent="0.3">
      <c r="A4" t="s">
        <v>97</v>
      </c>
      <c r="B4" s="49">
        <v>5435228196.7188234</v>
      </c>
      <c r="C4" s="46">
        <f>(B4-B2)/B2</f>
        <v>3.2708401961389258E-2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FE23-BD19-4CFE-826B-53558329A398}">
  <dimension ref="A1:N19"/>
  <sheetViews>
    <sheetView workbookViewId="0">
      <selection activeCell="C1" sqref="C1"/>
    </sheetView>
  </sheetViews>
  <sheetFormatPr defaultRowHeight="14.4" x14ac:dyDescent="0.3"/>
  <cols>
    <col min="6" max="6" width="16.44140625" bestFit="1" customWidth="1"/>
    <col min="7" max="7" width="12.6640625" bestFit="1" customWidth="1"/>
    <col min="11" max="11" width="13.44140625" customWidth="1"/>
  </cols>
  <sheetData>
    <row r="1" spans="1:12" ht="57.6" x14ac:dyDescent="0.3">
      <c r="A1" s="19" t="s">
        <v>48</v>
      </c>
      <c r="B1" s="19" t="s">
        <v>49</v>
      </c>
      <c r="C1" s="19" t="s">
        <v>50</v>
      </c>
    </row>
    <row r="2" spans="1:12" x14ac:dyDescent="0.3">
      <c r="A2" s="16" t="s">
        <v>46</v>
      </c>
      <c r="B2" s="17">
        <v>0.05</v>
      </c>
      <c r="C2" s="17">
        <v>-0.02</v>
      </c>
      <c r="F2" t="s">
        <v>59</v>
      </c>
    </row>
    <row r="3" spans="1:12" ht="15" thickBot="1" x14ac:dyDescent="0.35">
      <c r="A3" s="16" t="s">
        <v>47</v>
      </c>
      <c r="B3" s="17">
        <v>-0.1</v>
      </c>
      <c r="C3" s="17">
        <v>0.1</v>
      </c>
    </row>
    <row r="4" spans="1:12" x14ac:dyDescent="0.3">
      <c r="A4" s="20" t="s">
        <v>51</v>
      </c>
      <c r="B4" s="20">
        <v>0.02</v>
      </c>
      <c r="C4" s="20">
        <v>-0.01</v>
      </c>
      <c r="F4" s="23" t="s">
        <v>60</v>
      </c>
      <c r="G4" s="23"/>
      <c r="K4" s="20" t="s">
        <v>24</v>
      </c>
      <c r="L4">
        <f>SLOPE(C2:C11,B2:B11)</f>
        <v>-0.824543415571932</v>
      </c>
    </row>
    <row r="5" spans="1:12" ht="28.8" x14ac:dyDescent="0.3">
      <c r="A5" s="20" t="s">
        <v>52</v>
      </c>
      <c r="B5" s="20">
        <v>-0.03</v>
      </c>
      <c r="C5" s="20">
        <v>0.04</v>
      </c>
      <c r="F5" t="s">
        <v>61</v>
      </c>
      <c r="G5">
        <v>0.98940670304722111</v>
      </c>
      <c r="K5" s="20" t="s">
        <v>83</v>
      </c>
      <c r="L5">
        <f>INTERCEPT(C2:C11,B2:B11)</f>
        <v>1.6480935597564889E-2</v>
      </c>
    </row>
    <row r="6" spans="1:12" x14ac:dyDescent="0.3">
      <c r="A6" s="20" t="s">
        <v>53</v>
      </c>
      <c r="B6" s="20">
        <v>7.0000000000000007E-2</v>
      </c>
      <c r="C6" s="20">
        <v>-0.03</v>
      </c>
      <c r="F6" s="34" t="s">
        <v>62</v>
      </c>
      <c r="G6" s="34">
        <v>0.9789256240347719</v>
      </c>
    </row>
    <row r="7" spans="1:12" x14ac:dyDescent="0.3">
      <c r="A7" s="20" t="s">
        <v>54</v>
      </c>
      <c r="B7" s="20">
        <v>-0.05</v>
      </c>
      <c r="C7" s="20">
        <v>0.06</v>
      </c>
      <c r="F7" t="s">
        <v>63</v>
      </c>
      <c r="G7">
        <v>0.97629132703911847</v>
      </c>
    </row>
    <row r="8" spans="1:12" x14ac:dyDescent="0.3">
      <c r="A8" s="20" t="s">
        <v>55</v>
      </c>
      <c r="B8" s="20">
        <v>0.01</v>
      </c>
      <c r="C8" s="20">
        <v>-5.0000000000000001E-3</v>
      </c>
      <c r="F8" t="s">
        <v>64</v>
      </c>
      <c r="G8">
        <v>7.5564520748157655E-3</v>
      </c>
    </row>
    <row r="9" spans="1:12" ht="15" thickBot="1" x14ac:dyDescent="0.35">
      <c r="A9" s="20" t="s">
        <v>56</v>
      </c>
      <c r="B9" s="20">
        <v>-0.08</v>
      </c>
      <c r="C9" s="20">
        <v>8.5000000000000006E-2</v>
      </c>
      <c r="F9" s="21" t="s">
        <v>65</v>
      </c>
      <c r="G9" s="21">
        <v>10</v>
      </c>
    </row>
    <row r="10" spans="1:12" x14ac:dyDescent="0.3">
      <c r="A10" s="20" t="s">
        <v>57</v>
      </c>
      <c r="B10" s="20">
        <v>0.04</v>
      </c>
      <c r="C10" s="20">
        <v>-1.7999999999999999E-2</v>
      </c>
    </row>
    <row r="11" spans="1:12" ht="15" thickBot="1" x14ac:dyDescent="0.35">
      <c r="A11" s="20" t="s">
        <v>58</v>
      </c>
      <c r="B11" s="20">
        <v>-0.06</v>
      </c>
      <c r="C11" s="20">
        <v>7.0000000000000007E-2</v>
      </c>
      <c r="F11" t="s">
        <v>66</v>
      </c>
    </row>
    <row r="12" spans="1:12" x14ac:dyDescent="0.3">
      <c r="F12" s="22"/>
      <c r="G12" s="22" t="s">
        <v>71</v>
      </c>
      <c r="H12" s="22" t="s">
        <v>72</v>
      </c>
      <c r="I12" s="22" t="s">
        <v>73</v>
      </c>
      <c r="J12" s="22" t="s">
        <v>74</v>
      </c>
      <c r="K12" s="22" t="s">
        <v>75</v>
      </c>
    </row>
    <row r="13" spans="1:12" x14ac:dyDescent="0.3">
      <c r="F13" t="s">
        <v>67</v>
      </c>
      <c r="G13">
        <v>1</v>
      </c>
      <c r="H13">
        <v>2.1218800256328104E-2</v>
      </c>
      <c r="I13">
        <v>2.1218800256328104E-2</v>
      </c>
      <c r="J13">
        <v>371.60791879198035</v>
      </c>
      <c r="K13">
        <v>5.4396526059840954E-8</v>
      </c>
    </row>
    <row r="14" spans="1:12" x14ac:dyDescent="0.3">
      <c r="F14" t="s">
        <v>68</v>
      </c>
      <c r="G14">
        <v>8</v>
      </c>
      <c r="H14">
        <v>4.5679974367189991E-4</v>
      </c>
      <c r="I14">
        <v>5.7099967958987489E-5</v>
      </c>
    </row>
    <row r="15" spans="1:12" ht="15" thickBot="1" x14ac:dyDescent="0.35">
      <c r="F15" s="21" t="s">
        <v>69</v>
      </c>
      <c r="G15" s="21">
        <v>9</v>
      </c>
      <c r="H15" s="21">
        <v>2.1675600000000003E-2</v>
      </c>
      <c r="I15" s="21"/>
      <c r="J15" s="21"/>
      <c r="K15" s="21"/>
    </row>
    <row r="16" spans="1:12" ht="15" thickBot="1" x14ac:dyDescent="0.35"/>
    <row r="17" spans="6:14" x14ac:dyDescent="0.3">
      <c r="F17" s="22"/>
      <c r="G17" s="22" t="s">
        <v>76</v>
      </c>
      <c r="H17" s="22" t="s">
        <v>64</v>
      </c>
      <c r="I17" s="22" t="s">
        <v>77</v>
      </c>
      <c r="J17" s="22" t="s">
        <v>78</v>
      </c>
      <c r="K17" s="22" t="s">
        <v>79</v>
      </c>
      <c r="L17" s="22" t="s">
        <v>80</v>
      </c>
      <c r="M17" s="22" t="s">
        <v>81</v>
      </c>
      <c r="N17" s="22" t="s">
        <v>82</v>
      </c>
    </row>
    <row r="18" spans="6:14" x14ac:dyDescent="0.3">
      <c r="F18" t="s">
        <v>70</v>
      </c>
      <c r="G18">
        <v>1.6480935597564885E-2</v>
      </c>
      <c r="H18">
        <v>2.4534035927429418E-3</v>
      </c>
      <c r="I18">
        <v>6.7175802816604477</v>
      </c>
      <c r="J18">
        <v>1.4996574366052601E-4</v>
      </c>
      <c r="K18">
        <v>1.0823376767374901E-2</v>
      </c>
      <c r="L18">
        <v>2.2138494427754868E-2</v>
      </c>
      <c r="M18">
        <v>1.0823376767374901E-2</v>
      </c>
      <c r="N18">
        <v>2.2138494427754868E-2</v>
      </c>
    </row>
    <row r="19" spans="6:14" ht="15" thickBot="1" x14ac:dyDescent="0.35">
      <c r="F19" s="21" t="s">
        <v>49</v>
      </c>
      <c r="G19" s="21">
        <v>-0.82454341557193223</v>
      </c>
      <c r="H19" s="21">
        <v>4.2773131600279457E-2</v>
      </c>
      <c r="I19" s="21">
        <v>-19.27713461051669</v>
      </c>
      <c r="J19" s="21">
        <v>5.4396526059840954E-8</v>
      </c>
      <c r="K19" s="21">
        <v>-0.92317843391780863</v>
      </c>
      <c r="L19" s="21">
        <v>-0.72590839722605582</v>
      </c>
      <c r="M19" s="21">
        <v>-0.92317843391780863</v>
      </c>
      <c r="N19" s="21">
        <v>-0.72590839722605582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0E49-5F42-4BAC-B79C-E83CC3839C91}">
  <dimension ref="A1:Q145"/>
  <sheetViews>
    <sheetView topLeftCell="B1" workbookViewId="0">
      <selection activeCell="P7" sqref="P7"/>
    </sheetView>
  </sheetViews>
  <sheetFormatPr defaultRowHeight="14.4" x14ac:dyDescent="0.3"/>
  <cols>
    <col min="3" max="3" width="15.109375" bestFit="1" customWidth="1"/>
    <col min="4" max="4" width="10.33203125" bestFit="1" customWidth="1"/>
    <col min="8" max="8" width="21.44140625" bestFit="1" customWidth="1"/>
    <col min="9" max="9" width="15.5546875" bestFit="1" customWidth="1"/>
    <col min="10" max="10" width="12.6640625" bestFit="1" customWidth="1"/>
    <col min="11" max="11" width="13.77734375" bestFit="1" customWidth="1"/>
    <col min="12" max="12" width="13.77734375" customWidth="1"/>
    <col min="13" max="13" width="11.44140625" bestFit="1" customWidth="1"/>
    <col min="14" max="15" width="14.109375" bestFit="1" customWidth="1"/>
    <col min="16" max="16" width="12.44140625" bestFit="1" customWidth="1"/>
    <col min="17" max="17" width="14.109375" bestFit="1" customWidth="1"/>
  </cols>
  <sheetData>
    <row r="1" spans="1:17" x14ac:dyDescent="0.3">
      <c r="A1" t="s">
        <v>85</v>
      </c>
      <c r="B1" t="s">
        <v>86</v>
      </c>
      <c r="C1" t="s">
        <v>87</v>
      </c>
      <c r="D1" t="s">
        <v>34</v>
      </c>
    </row>
    <row r="2" spans="1:17" x14ac:dyDescent="0.3">
      <c r="A2" t="s">
        <v>88</v>
      </c>
      <c r="B2" t="s">
        <v>32</v>
      </c>
      <c r="C2">
        <v>8750454</v>
      </c>
      <c r="D2" s="36">
        <v>44562</v>
      </c>
      <c r="H2" s="9" t="s">
        <v>91</v>
      </c>
      <c r="I2" s="9" t="s">
        <v>90</v>
      </c>
    </row>
    <row r="3" spans="1:17" x14ac:dyDescent="0.3">
      <c r="A3" t="s">
        <v>88</v>
      </c>
      <c r="B3" t="s">
        <v>32</v>
      </c>
      <c r="C3">
        <v>8833366</v>
      </c>
      <c r="D3" s="36">
        <v>44593</v>
      </c>
      <c r="H3" s="9" t="s">
        <v>40</v>
      </c>
      <c r="I3" t="s">
        <v>31</v>
      </c>
      <c r="J3" t="s">
        <v>33</v>
      </c>
      <c r="K3" t="s">
        <v>32</v>
      </c>
      <c r="L3" t="s">
        <v>35</v>
      </c>
      <c r="M3" t="s">
        <v>41</v>
      </c>
      <c r="N3" t="s">
        <v>42</v>
      </c>
      <c r="O3" t="s">
        <v>43</v>
      </c>
      <c r="P3" t="s">
        <v>1</v>
      </c>
      <c r="Q3" t="s">
        <v>0</v>
      </c>
    </row>
    <row r="4" spans="1:17" x14ac:dyDescent="0.3">
      <c r="A4" t="s">
        <v>88</v>
      </c>
      <c r="B4" t="s">
        <v>32</v>
      </c>
      <c r="C4">
        <v>10192963</v>
      </c>
      <c r="D4" s="36">
        <v>44621</v>
      </c>
      <c r="H4" s="10" t="s">
        <v>36</v>
      </c>
      <c r="I4" s="37">
        <v>426180</v>
      </c>
      <c r="J4" s="37">
        <v>8404438</v>
      </c>
      <c r="K4" s="37">
        <v>119241190</v>
      </c>
      <c r="L4" s="37">
        <v>128071808</v>
      </c>
      <c r="M4" s="11">
        <f>I4*70%*46</f>
        <v>13722996</v>
      </c>
      <c r="N4" s="11">
        <f t="shared" ref="N4:O4" si="0">J4*70%*46</f>
        <v>270622903.59999996</v>
      </c>
      <c r="O4" s="11">
        <f t="shared" si="0"/>
        <v>3839566318</v>
      </c>
      <c r="P4" s="11">
        <f>-I4*70%*300</f>
        <v>-89497800</v>
      </c>
      <c r="Q4" s="11">
        <f>SUM(M4:P4)</f>
        <v>4034414417.5999999</v>
      </c>
    </row>
    <row r="5" spans="1:17" x14ac:dyDescent="0.3">
      <c r="A5" t="s">
        <v>88</v>
      </c>
      <c r="B5" t="s">
        <v>32</v>
      </c>
      <c r="C5">
        <v>9832166</v>
      </c>
      <c r="D5" s="36">
        <v>44652</v>
      </c>
      <c r="H5" s="10" t="s">
        <v>37</v>
      </c>
      <c r="I5" s="37">
        <v>482214</v>
      </c>
      <c r="J5" s="37">
        <v>9946824</v>
      </c>
      <c r="K5" s="37">
        <v>128547536</v>
      </c>
      <c r="L5" s="37">
        <v>138976574</v>
      </c>
      <c r="M5" s="11">
        <f t="shared" ref="M5:M7" si="1">I5*70%*46</f>
        <v>15527290.799999999</v>
      </c>
      <c r="N5" s="11">
        <f t="shared" ref="N5:N7" si="2">J5*70%*46</f>
        <v>320287732.80000001</v>
      </c>
      <c r="O5" s="11">
        <f t="shared" ref="O5:O7" si="3">K5*70%*46</f>
        <v>4139230659.1999993</v>
      </c>
      <c r="P5" s="11">
        <f t="shared" ref="P5:P7" si="4">-I5*70%*300</f>
        <v>-101264940</v>
      </c>
      <c r="Q5" s="11">
        <f t="shared" ref="Q5:Q7" si="5">SUM(M5:P5)</f>
        <v>4373780742.7999992</v>
      </c>
    </row>
    <row r="6" spans="1:17" x14ac:dyDescent="0.3">
      <c r="A6" t="s">
        <v>88</v>
      </c>
      <c r="B6" t="s">
        <v>32</v>
      </c>
      <c r="C6">
        <v>10216767</v>
      </c>
      <c r="D6" s="36">
        <v>44682</v>
      </c>
      <c r="H6" s="10" t="s">
        <v>38</v>
      </c>
      <c r="I6" s="37">
        <v>484334</v>
      </c>
      <c r="J6" s="37">
        <v>10291297</v>
      </c>
      <c r="K6" s="37">
        <v>133224738</v>
      </c>
      <c r="L6" s="37">
        <v>144000369</v>
      </c>
      <c r="M6" s="11">
        <f t="shared" si="1"/>
        <v>15595554.799999999</v>
      </c>
      <c r="N6" s="11">
        <f t="shared" si="2"/>
        <v>331379763.39999998</v>
      </c>
      <c r="O6" s="11">
        <f t="shared" si="3"/>
        <v>4289836563.5999999</v>
      </c>
      <c r="P6" s="11">
        <f t="shared" si="4"/>
        <v>-101710140</v>
      </c>
      <c r="Q6" s="11">
        <f t="shared" si="5"/>
        <v>4535101741.8000002</v>
      </c>
    </row>
    <row r="7" spans="1:17" x14ac:dyDescent="0.3">
      <c r="A7" t="s">
        <v>88</v>
      </c>
      <c r="B7" t="s">
        <v>32</v>
      </c>
      <c r="C7">
        <v>9894813</v>
      </c>
      <c r="D7" s="36">
        <v>44713</v>
      </c>
      <c r="H7" s="10" t="s">
        <v>39</v>
      </c>
      <c r="I7" s="37">
        <v>498509</v>
      </c>
      <c r="J7" s="37">
        <v>10528632</v>
      </c>
      <c r="K7" s="37">
        <v>155673732</v>
      </c>
      <c r="L7" s="37">
        <v>166700873</v>
      </c>
      <c r="M7" s="11">
        <f t="shared" si="1"/>
        <v>16051989.799999999</v>
      </c>
      <c r="N7" s="11">
        <f t="shared" si="2"/>
        <v>339021950.39999998</v>
      </c>
      <c r="O7" s="11">
        <f t="shared" si="3"/>
        <v>5012694170.3999996</v>
      </c>
      <c r="P7" s="11">
        <f t="shared" si="4"/>
        <v>-104686890</v>
      </c>
      <c r="Q7" s="11">
        <f t="shared" si="5"/>
        <v>5263081220.5999994</v>
      </c>
    </row>
    <row r="8" spans="1:17" x14ac:dyDescent="0.3">
      <c r="A8" t="s">
        <v>88</v>
      </c>
      <c r="B8" t="s">
        <v>32</v>
      </c>
      <c r="C8">
        <v>10337774</v>
      </c>
      <c r="D8" s="36">
        <v>44743</v>
      </c>
    </row>
    <row r="9" spans="1:17" x14ac:dyDescent="0.3">
      <c r="A9" t="s">
        <v>88</v>
      </c>
      <c r="B9" t="s">
        <v>32</v>
      </c>
      <c r="C9">
        <v>10111683</v>
      </c>
      <c r="D9" s="36">
        <v>44774</v>
      </c>
    </row>
    <row r="10" spans="1:17" x14ac:dyDescent="0.3">
      <c r="A10" t="s">
        <v>88</v>
      </c>
      <c r="B10" t="s">
        <v>32</v>
      </c>
      <c r="C10">
        <v>10154320</v>
      </c>
      <c r="D10" s="36">
        <v>44805</v>
      </c>
    </row>
    <row r="11" spans="1:17" x14ac:dyDescent="0.3">
      <c r="A11" t="s">
        <v>88</v>
      </c>
      <c r="B11" t="s">
        <v>32</v>
      </c>
      <c r="C11">
        <v>10982926</v>
      </c>
      <c r="D11" s="36">
        <v>44835</v>
      </c>
    </row>
    <row r="12" spans="1:17" x14ac:dyDescent="0.3">
      <c r="A12" t="s">
        <v>88</v>
      </c>
      <c r="B12" t="s">
        <v>32</v>
      </c>
      <c r="C12">
        <v>10120284</v>
      </c>
      <c r="D12" s="36">
        <v>44866</v>
      </c>
    </row>
    <row r="13" spans="1:17" x14ac:dyDescent="0.3">
      <c r="A13" t="s">
        <v>88</v>
      </c>
      <c r="B13" t="s">
        <v>32</v>
      </c>
      <c r="C13">
        <v>9813674</v>
      </c>
      <c r="D13" s="36">
        <v>44896</v>
      </c>
    </row>
    <row r="14" spans="1:17" x14ac:dyDescent="0.3">
      <c r="A14" t="s">
        <v>88</v>
      </c>
      <c r="B14" t="s">
        <v>32</v>
      </c>
      <c r="C14">
        <v>10040641</v>
      </c>
      <c r="D14" s="36">
        <v>44927</v>
      </c>
    </row>
    <row r="15" spans="1:17" x14ac:dyDescent="0.3">
      <c r="A15" t="s">
        <v>88</v>
      </c>
      <c r="B15" t="s">
        <v>32</v>
      </c>
      <c r="C15">
        <v>9775772</v>
      </c>
      <c r="D15" s="36">
        <v>44958</v>
      </c>
    </row>
    <row r="16" spans="1:17" x14ac:dyDescent="0.3">
      <c r="A16" t="s">
        <v>88</v>
      </c>
      <c r="B16" t="s">
        <v>32</v>
      </c>
      <c r="C16">
        <v>11182770</v>
      </c>
      <c r="D16" s="36">
        <v>44986</v>
      </c>
    </row>
    <row r="17" spans="1:4" x14ac:dyDescent="0.3">
      <c r="A17" t="s">
        <v>88</v>
      </c>
      <c r="B17" t="s">
        <v>32</v>
      </c>
      <c r="C17">
        <v>10145352</v>
      </c>
      <c r="D17" s="36">
        <v>45017</v>
      </c>
    </row>
    <row r="18" spans="1:4" x14ac:dyDescent="0.3">
      <c r="A18" t="s">
        <v>88</v>
      </c>
      <c r="B18" t="s">
        <v>32</v>
      </c>
      <c r="C18">
        <v>10971378</v>
      </c>
      <c r="D18" s="36">
        <v>45047</v>
      </c>
    </row>
    <row r="19" spans="1:4" x14ac:dyDescent="0.3">
      <c r="A19" t="s">
        <v>88</v>
      </c>
      <c r="B19" t="s">
        <v>32</v>
      </c>
      <c r="C19">
        <v>9978134</v>
      </c>
      <c r="D19" s="36">
        <v>45078</v>
      </c>
    </row>
    <row r="20" spans="1:4" x14ac:dyDescent="0.3">
      <c r="A20" t="s">
        <v>88</v>
      </c>
      <c r="B20" t="s">
        <v>32</v>
      </c>
      <c r="C20">
        <v>10275471</v>
      </c>
      <c r="D20" s="36">
        <v>45108</v>
      </c>
    </row>
    <row r="21" spans="1:4" x14ac:dyDescent="0.3">
      <c r="A21" t="s">
        <v>88</v>
      </c>
      <c r="B21" t="s">
        <v>32</v>
      </c>
      <c r="C21">
        <v>11630359</v>
      </c>
      <c r="D21" s="36">
        <v>45139</v>
      </c>
    </row>
    <row r="22" spans="1:4" x14ac:dyDescent="0.3">
      <c r="A22" t="s">
        <v>88</v>
      </c>
      <c r="B22" t="s">
        <v>32</v>
      </c>
      <c r="C22">
        <v>11013626</v>
      </c>
      <c r="D22" s="36">
        <v>45170</v>
      </c>
    </row>
    <row r="23" spans="1:4" x14ac:dyDescent="0.3">
      <c r="A23" t="s">
        <v>88</v>
      </c>
      <c r="B23" t="s">
        <v>32</v>
      </c>
      <c r="C23">
        <v>11886273</v>
      </c>
      <c r="D23" s="36">
        <v>45200</v>
      </c>
    </row>
    <row r="24" spans="1:4" x14ac:dyDescent="0.3">
      <c r="A24" t="s">
        <v>88</v>
      </c>
      <c r="B24" t="s">
        <v>32</v>
      </c>
      <c r="C24">
        <v>10761539</v>
      </c>
      <c r="D24" s="36">
        <v>45231</v>
      </c>
    </row>
    <row r="25" spans="1:4" x14ac:dyDescent="0.3">
      <c r="A25" t="s">
        <v>88</v>
      </c>
      <c r="B25" t="s">
        <v>32</v>
      </c>
      <c r="C25">
        <v>10886221</v>
      </c>
      <c r="D25" s="36">
        <v>45261</v>
      </c>
    </row>
    <row r="26" spans="1:4" x14ac:dyDescent="0.3">
      <c r="A26" t="s">
        <v>88</v>
      </c>
      <c r="B26" t="s">
        <v>32</v>
      </c>
      <c r="C26">
        <v>10018755</v>
      </c>
      <c r="D26" s="36">
        <v>45292</v>
      </c>
    </row>
    <row r="27" spans="1:4" x14ac:dyDescent="0.3">
      <c r="A27" t="s">
        <v>88</v>
      </c>
      <c r="B27" t="s">
        <v>32</v>
      </c>
      <c r="C27">
        <v>10145671</v>
      </c>
      <c r="D27" s="36">
        <v>45323</v>
      </c>
    </row>
    <row r="28" spans="1:4" x14ac:dyDescent="0.3">
      <c r="A28" t="s">
        <v>88</v>
      </c>
      <c r="B28" t="s">
        <v>32</v>
      </c>
      <c r="C28">
        <v>11299829</v>
      </c>
      <c r="D28" s="36">
        <v>45352</v>
      </c>
    </row>
    <row r="29" spans="1:4" x14ac:dyDescent="0.3">
      <c r="A29" t="s">
        <v>88</v>
      </c>
      <c r="B29" t="s">
        <v>32</v>
      </c>
      <c r="C29">
        <v>10809277</v>
      </c>
      <c r="D29" s="36">
        <v>45383</v>
      </c>
    </row>
    <row r="30" spans="1:4" x14ac:dyDescent="0.3">
      <c r="A30" t="s">
        <v>88</v>
      </c>
      <c r="B30" t="s">
        <v>32</v>
      </c>
      <c r="C30">
        <v>10648899</v>
      </c>
      <c r="D30" s="36">
        <v>45413</v>
      </c>
    </row>
    <row r="31" spans="1:4" x14ac:dyDescent="0.3">
      <c r="A31" t="s">
        <v>88</v>
      </c>
      <c r="B31" t="s">
        <v>32</v>
      </c>
      <c r="C31">
        <v>10824631</v>
      </c>
      <c r="D31" s="36">
        <v>45444</v>
      </c>
    </row>
    <row r="32" spans="1:4" x14ac:dyDescent="0.3">
      <c r="A32" t="s">
        <v>88</v>
      </c>
      <c r="B32" t="s">
        <v>32</v>
      </c>
      <c r="C32">
        <v>10544513</v>
      </c>
      <c r="D32" s="36">
        <v>45474</v>
      </c>
    </row>
    <row r="33" spans="1:4" x14ac:dyDescent="0.3">
      <c r="A33" t="s">
        <v>88</v>
      </c>
      <c r="B33" t="s">
        <v>32</v>
      </c>
      <c r="C33">
        <v>11242621</v>
      </c>
      <c r="D33" s="36">
        <v>45505</v>
      </c>
    </row>
    <row r="34" spans="1:4" x14ac:dyDescent="0.3">
      <c r="A34" t="s">
        <v>88</v>
      </c>
      <c r="B34" t="s">
        <v>32</v>
      </c>
      <c r="C34">
        <v>11731919</v>
      </c>
      <c r="D34" s="36">
        <v>45536</v>
      </c>
    </row>
    <row r="35" spans="1:4" x14ac:dyDescent="0.3">
      <c r="A35" t="s">
        <v>88</v>
      </c>
      <c r="B35" t="s">
        <v>32</v>
      </c>
      <c r="C35">
        <v>12536868</v>
      </c>
      <c r="D35" s="36">
        <v>45566</v>
      </c>
    </row>
    <row r="36" spans="1:4" x14ac:dyDescent="0.3">
      <c r="A36" t="s">
        <v>88</v>
      </c>
      <c r="B36" t="s">
        <v>32</v>
      </c>
      <c r="C36">
        <v>11630937</v>
      </c>
      <c r="D36" s="36">
        <v>45597</v>
      </c>
    </row>
    <row r="37" spans="1:4" x14ac:dyDescent="0.3">
      <c r="A37" t="s">
        <v>88</v>
      </c>
      <c r="B37" t="s">
        <v>32</v>
      </c>
      <c r="C37">
        <v>11790818</v>
      </c>
      <c r="D37" s="36">
        <v>45627</v>
      </c>
    </row>
    <row r="38" spans="1:4" x14ac:dyDescent="0.3">
      <c r="A38" t="s">
        <v>89</v>
      </c>
      <c r="B38" t="s">
        <v>32</v>
      </c>
      <c r="C38">
        <v>11774744</v>
      </c>
      <c r="D38" s="36">
        <v>45658</v>
      </c>
    </row>
    <row r="39" spans="1:4" x14ac:dyDescent="0.3">
      <c r="A39" t="s">
        <v>89</v>
      </c>
      <c r="B39" t="s">
        <v>32</v>
      </c>
      <c r="C39">
        <v>11949498</v>
      </c>
      <c r="D39" s="36">
        <v>45689</v>
      </c>
    </row>
    <row r="40" spans="1:4" x14ac:dyDescent="0.3">
      <c r="A40" t="s">
        <v>89</v>
      </c>
      <c r="B40" t="s">
        <v>32</v>
      </c>
      <c r="C40">
        <v>13153925</v>
      </c>
      <c r="D40" s="36">
        <v>45717</v>
      </c>
    </row>
    <row r="41" spans="1:4" x14ac:dyDescent="0.3">
      <c r="A41" t="s">
        <v>89</v>
      </c>
      <c r="B41" t="s">
        <v>32</v>
      </c>
      <c r="C41">
        <v>12716858</v>
      </c>
      <c r="D41" s="36">
        <v>45748</v>
      </c>
    </row>
    <row r="42" spans="1:4" x14ac:dyDescent="0.3">
      <c r="A42" t="s">
        <v>89</v>
      </c>
      <c r="B42" t="s">
        <v>32</v>
      </c>
      <c r="C42">
        <v>12490257</v>
      </c>
      <c r="D42" s="36">
        <v>45778</v>
      </c>
    </row>
    <row r="43" spans="1:4" x14ac:dyDescent="0.3">
      <c r="A43" t="s">
        <v>89</v>
      </c>
      <c r="B43" t="s">
        <v>32</v>
      </c>
      <c r="C43">
        <v>12759519</v>
      </c>
      <c r="D43" s="36">
        <v>45809</v>
      </c>
    </row>
    <row r="44" spans="1:4" x14ac:dyDescent="0.3">
      <c r="A44" t="s">
        <v>89</v>
      </c>
      <c r="B44" t="s">
        <v>32</v>
      </c>
      <c r="C44">
        <v>12474259</v>
      </c>
      <c r="D44" s="36">
        <v>45839</v>
      </c>
    </row>
    <row r="45" spans="1:4" x14ac:dyDescent="0.3">
      <c r="A45" t="s">
        <v>89</v>
      </c>
      <c r="B45" t="s">
        <v>32</v>
      </c>
      <c r="C45">
        <v>13031829</v>
      </c>
      <c r="D45" s="36">
        <v>45870</v>
      </c>
    </row>
    <row r="46" spans="1:4" x14ac:dyDescent="0.3">
      <c r="A46" t="s">
        <v>89</v>
      </c>
      <c r="B46" t="s">
        <v>32</v>
      </c>
      <c r="C46">
        <v>13628477</v>
      </c>
      <c r="D46" s="36">
        <v>45901</v>
      </c>
    </row>
    <row r="47" spans="1:4" x14ac:dyDescent="0.3">
      <c r="A47" t="s">
        <v>89</v>
      </c>
      <c r="B47" t="s">
        <v>32</v>
      </c>
      <c r="C47">
        <v>14468595</v>
      </c>
      <c r="D47" s="36">
        <v>45931</v>
      </c>
    </row>
    <row r="48" spans="1:4" x14ac:dyDescent="0.3">
      <c r="A48" t="s">
        <v>89</v>
      </c>
      <c r="B48" t="s">
        <v>32</v>
      </c>
      <c r="C48">
        <v>13546656</v>
      </c>
      <c r="D48" s="36">
        <v>45962</v>
      </c>
    </row>
    <row r="49" spans="1:4" x14ac:dyDescent="0.3">
      <c r="A49" t="s">
        <v>89</v>
      </c>
      <c r="B49" t="s">
        <v>32</v>
      </c>
      <c r="C49">
        <v>13679115</v>
      </c>
      <c r="D49" s="36">
        <v>45992</v>
      </c>
    </row>
    <row r="50" spans="1:4" x14ac:dyDescent="0.3">
      <c r="A50" t="s">
        <v>88</v>
      </c>
      <c r="B50" t="s">
        <v>33</v>
      </c>
      <c r="C50">
        <v>716051</v>
      </c>
      <c r="D50" s="36">
        <v>44562</v>
      </c>
    </row>
    <row r="51" spans="1:4" x14ac:dyDescent="0.3">
      <c r="A51" t="s">
        <v>88</v>
      </c>
      <c r="B51" t="s">
        <v>33</v>
      </c>
      <c r="C51">
        <v>551775</v>
      </c>
      <c r="D51" s="36">
        <v>44593</v>
      </c>
    </row>
    <row r="52" spans="1:4" x14ac:dyDescent="0.3">
      <c r="A52" t="s">
        <v>88</v>
      </c>
      <c r="B52" t="s">
        <v>33</v>
      </c>
      <c r="C52">
        <v>713976</v>
      </c>
      <c r="D52" s="36">
        <v>44621</v>
      </c>
    </row>
    <row r="53" spans="1:4" x14ac:dyDescent="0.3">
      <c r="A53" t="s">
        <v>88</v>
      </c>
      <c r="B53" t="s">
        <v>33</v>
      </c>
      <c r="C53">
        <v>635520</v>
      </c>
      <c r="D53" s="36">
        <v>44652</v>
      </c>
    </row>
    <row r="54" spans="1:4" x14ac:dyDescent="0.3">
      <c r="A54" t="s">
        <v>88</v>
      </c>
      <c r="B54" t="s">
        <v>33</v>
      </c>
      <c r="C54">
        <v>824054</v>
      </c>
      <c r="D54" s="36">
        <v>44682</v>
      </c>
    </row>
    <row r="55" spans="1:4" x14ac:dyDescent="0.3">
      <c r="A55" t="s">
        <v>88</v>
      </c>
      <c r="B55" t="s">
        <v>33</v>
      </c>
      <c r="C55">
        <v>862637</v>
      </c>
      <c r="D55" s="36">
        <v>44713</v>
      </c>
    </row>
    <row r="56" spans="1:4" x14ac:dyDescent="0.3">
      <c r="A56" t="s">
        <v>88</v>
      </c>
      <c r="B56" t="s">
        <v>33</v>
      </c>
      <c r="C56">
        <v>889894</v>
      </c>
      <c r="D56" s="36">
        <v>44743</v>
      </c>
    </row>
    <row r="57" spans="1:4" x14ac:dyDescent="0.3">
      <c r="A57" t="s">
        <v>88</v>
      </c>
      <c r="B57" t="s">
        <v>33</v>
      </c>
      <c r="C57">
        <v>809253</v>
      </c>
      <c r="D57" s="36">
        <v>44774</v>
      </c>
    </row>
    <row r="58" spans="1:4" x14ac:dyDescent="0.3">
      <c r="A58" t="s">
        <v>88</v>
      </c>
      <c r="B58" t="s">
        <v>33</v>
      </c>
      <c r="C58">
        <v>410093</v>
      </c>
      <c r="D58" s="36">
        <v>44805</v>
      </c>
    </row>
    <row r="59" spans="1:4" x14ac:dyDescent="0.3">
      <c r="A59" t="s">
        <v>88</v>
      </c>
      <c r="B59" t="s">
        <v>33</v>
      </c>
      <c r="C59">
        <v>389891</v>
      </c>
      <c r="D59" s="36">
        <v>44835</v>
      </c>
    </row>
    <row r="60" spans="1:4" x14ac:dyDescent="0.3">
      <c r="A60" t="s">
        <v>88</v>
      </c>
      <c r="B60" t="s">
        <v>33</v>
      </c>
      <c r="C60">
        <v>502413</v>
      </c>
      <c r="D60" s="36">
        <v>44866</v>
      </c>
    </row>
    <row r="61" spans="1:4" x14ac:dyDescent="0.3">
      <c r="A61" t="s">
        <v>88</v>
      </c>
      <c r="B61" t="s">
        <v>33</v>
      </c>
      <c r="C61">
        <v>1098881</v>
      </c>
      <c r="D61" s="36">
        <v>44896</v>
      </c>
    </row>
    <row r="62" spans="1:4" x14ac:dyDescent="0.3">
      <c r="A62" t="s">
        <v>88</v>
      </c>
      <c r="B62" t="s">
        <v>33</v>
      </c>
      <c r="C62">
        <v>943374</v>
      </c>
      <c r="D62" s="36">
        <v>44927</v>
      </c>
    </row>
    <row r="63" spans="1:4" x14ac:dyDescent="0.3">
      <c r="A63" t="s">
        <v>88</v>
      </c>
      <c r="B63" t="s">
        <v>33</v>
      </c>
      <c r="C63">
        <v>671018</v>
      </c>
      <c r="D63" s="36">
        <v>44958</v>
      </c>
    </row>
    <row r="64" spans="1:4" x14ac:dyDescent="0.3">
      <c r="A64" t="s">
        <v>88</v>
      </c>
      <c r="B64" t="s">
        <v>33</v>
      </c>
      <c r="C64">
        <v>794865</v>
      </c>
      <c r="D64" s="36">
        <v>44986</v>
      </c>
    </row>
    <row r="65" spans="1:4" x14ac:dyDescent="0.3">
      <c r="A65" t="s">
        <v>88</v>
      </c>
      <c r="B65" t="s">
        <v>33</v>
      </c>
      <c r="C65">
        <v>896664</v>
      </c>
      <c r="D65" s="36">
        <v>45017</v>
      </c>
    </row>
    <row r="66" spans="1:4" x14ac:dyDescent="0.3">
      <c r="A66" t="s">
        <v>88</v>
      </c>
      <c r="B66" t="s">
        <v>33</v>
      </c>
      <c r="C66">
        <v>873190</v>
      </c>
      <c r="D66" s="36">
        <v>45047</v>
      </c>
    </row>
    <row r="67" spans="1:4" x14ac:dyDescent="0.3">
      <c r="A67" t="s">
        <v>88</v>
      </c>
      <c r="B67" t="s">
        <v>33</v>
      </c>
      <c r="C67">
        <v>1367690</v>
      </c>
      <c r="D67" s="36">
        <v>45078</v>
      </c>
    </row>
    <row r="68" spans="1:4" x14ac:dyDescent="0.3">
      <c r="A68" t="s">
        <v>88</v>
      </c>
      <c r="B68" t="s">
        <v>33</v>
      </c>
      <c r="C68">
        <v>1544113</v>
      </c>
      <c r="D68" s="36">
        <v>45108</v>
      </c>
    </row>
    <row r="69" spans="1:4" x14ac:dyDescent="0.3">
      <c r="A69" t="s">
        <v>88</v>
      </c>
      <c r="B69" t="s">
        <v>33</v>
      </c>
      <c r="C69">
        <v>815496</v>
      </c>
      <c r="D69" s="36">
        <v>45139</v>
      </c>
    </row>
    <row r="70" spans="1:4" x14ac:dyDescent="0.3">
      <c r="A70" t="s">
        <v>88</v>
      </c>
      <c r="B70" t="s">
        <v>33</v>
      </c>
      <c r="C70">
        <v>704269</v>
      </c>
      <c r="D70" s="36">
        <v>45170</v>
      </c>
    </row>
    <row r="71" spans="1:4" x14ac:dyDescent="0.3">
      <c r="A71" t="s">
        <v>88</v>
      </c>
      <c r="B71" t="s">
        <v>33</v>
      </c>
      <c r="C71">
        <v>488233</v>
      </c>
      <c r="D71" s="36">
        <v>45200</v>
      </c>
    </row>
    <row r="72" spans="1:4" x14ac:dyDescent="0.3">
      <c r="A72" t="s">
        <v>88</v>
      </c>
      <c r="B72" t="s">
        <v>33</v>
      </c>
      <c r="C72">
        <v>375004</v>
      </c>
      <c r="D72" s="36">
        <v>45231</v>
      </c>
    </row>
    <row r="73" spans="1:4" x14ac:dyDescent="0.3">
      <c r="A73" t="s">
        <v>88</v>
      </c>
      <c r="B73" t="s">
        <v>33</v>
      </c>
      <c r="C73">
        <v>472908</v>
      </c>
      <c r="D73" s="36">
        <v>45261</v>
      </c>
    </row>
    <row r="74" spans="1:4" x14ac:dyDescent="0.3">
      <c r="A74" t="s">
        <v>88</v>
      </c>
      <c r="B74" t="s">
        <v>33</v>
      </c>
      <c r="C74">
        <v>933337</v>
      </c>
      <c r="D74" s="36">
        <v>45292</v>
      </c>
    </row>
    <row r="75" spans="1:4" x14ac:dyDescent="0.3">
      <c r="A75" t="s">
        <v>88</v>
      </c>
      <c r="B75" t="s">
        <v>33</v>
      </c>
      <c r="C75">
        <v>583251</v>
      </c>
      <c r="D75" s="36">
        <v>45323</v>
      </c>
    </row>
    <row r="76" spans="1:4" x14ac:dyDescent="0.3">
      <c r="A76" t="s">
        <v>88</v>
      </c>
      <c r="B76" t="s">
        <v>33</v>
      </c>
      <c r="C76">
        <v>714256</v>
      </c>
      <c r="D76" s="36">
        <v>45352</v>
      </c>
    </row>
    <row r="77" spans="1:4" x14ac:dyDescent="0.3">
      <c r="A77" t="s">
        <v>88</v>
      </c>
      <c r="B77" t="s">
        <v>33</v>
      </c>
      <c r="C77">
        <v>702002</v>
      </c>
      <c r="D77" s="36">
        <v>45383</v>
      </c>
    </row>
    <row r="78" spans="1:4" x14ac:dyDescent="0.3">
      <c r="A78" t="s">
        <v>88</v>
      </c>
      <c r="B78" t="s">
        <v>33</v>
      </c>
      <c r="C78">
        <v>1319414</v>
      </c>
      <c r="D78" s="36">
        <v>45413</v>
      </c>
    </row>
    <row r="79" spans="1:4" x14ac:dyDescent="0.3">
      <c r="A79" t="s">
        <v>88</v>
      </c>
      <c r="B79" t="s">
        <v>33</v>
      </c>
      <c r="C79">
        <v>1073346</v>
      </c>
      <c r="D79" s="36">
        <v>45444</v>
      </c>
    </row>
    <row r="80" spans="1:4" x14ac:dyDescent="0.3">
      <c r="A80" t="s">
        <v>88</v>
      </c>
      <c r="B80" t="s">
        <v>33</v>
      </c>
      <c r="C80">
        <v>1467746</v>
      </c>
      <c r="D80" s="36">
        <v>45474</v>
      </c>
    </row>
    <row r="81" spans="1:4" x14ac:dyDescent="0.3">
      <c r="A81" t="s">
        <v>88</v>
      </c>
      <c r="B81" t="s">
        <v>33</v>
      </c>
      <c r="C81">
        <v>1030784</v>
      </c>
      <c r="D81" s="36">
        <v>45505</v>
      </c>
    </row>
    <row r="82" spans="1:4" x14ac:dyDescent="0.3">
      <c r="A82" t="s">
        <v>88</v>
      </c>
      <c r="B82" t="s">
        <v>33</v>
      </c>
      <c r="C82">
        <v>466769</v>
      </c>
      <c r="D82" s="36">
        <v>45536</v>
      </c>
    </row>
    <row r="83" spans="1:4" x14ac:dyDescent="0.3">
      <c r="A83" t="s">
        <v>88</v>
      </c>
      <c r="B83" t="s">
        <v>33</v>
      </c>
      <c r="C83">
        <v>445453</v>
      </c>
      <c r="D83" s="36">
        <v>45566</v>
      </c>
    </row>
    <row r="84" spans="1:4" x14ac:dyDescent="0.3">
      <c r="A84" t="s">
        <v>88</v>
      </c>
      <c r="B84" t="s">
        <v>33</v>
      </c>
      <c r="C84">
        <v>772992</v>
      </c>
      <c r="D84" s="36">
        <v>45597</v>
      </c>
    </row>
    <row r="85" spans="1:4" x14ac:dyDescent="0.3">
      <c r="A85" t="s">
        <v>88</v>
      </c>
      <c r="B85" t="s">
        <v>33</v>
      </c>
      <c r="C85">
        <v>781947</v>
      </c>
      <c r="D85" s="36">
        <v>45627</v>
      </c>
    </row>
    <row r="86" spans="1:4" x14ac:dyDescent="0.3">
      <c r="A86" t="s">
        <v>89</v>
      </c>
      <c r="B86" t="s">
        <v>33</v>
      </c>
      <c r="C86">
        <v>951652</v>
      </c>
      <c r="D86" s="36">
        <v>45658</v>
      </c>
    </row>
    <row r="87" spans="1:4" x14ac:dyDescent="0.3">
      <c r="A87" t="s">
        <v>89</v>
      </c>
      <c r="B87" t="s">
        <v>33</v>
      </c>
      <c r="C87">
        <v>664297</v>
      </c>
      <c r="D87" s="36">
        <v>45689</v>
      </c>
    </row>
    <row r="88" spans="1:4" x14ac:dyDescent="0.3">
      <c r="A88" t="s">
        <v>89</v>
      </c>
      <c r="B88" t="s">
        <v>33</v>
      </c>
      <c r="C88">
        <v>795698</v>
      </c>
      <c r="D88" s="36">
        <v>45717</v>
      </c>
    </row>
    <row r="89" spans="1:4" x14ac:dyDescent="0.3">
      <c r="A89" t="s">
        <v>89</v>
      </c>
      <c r="B89" t="s">
        <v>33</v>
      </c>
      <c r="C89">
        <v>854348</v>
      </c>
      <c r="D89" s="36">
        <v>45748</v>
      </c>
    </row>
    <row r="90" spans="1:4" x14ac:dyDescent="0.3">
      <c r="A90" t="s">
        <v>89</v>
      </c>
      <c r="B90" t="s">
        <v>33</v>
      </c>
      <c r="C90">
        <v>1104361</v>
      </c>
      <c r="D90" s="36">
        <v>45778</v>
      </c>
    </row>
    <row r="91" spans="1:4" x14ac:dyDescent="0.3">
      <c r="A91" t="s">
        <v>89</v>
      </c>
      <c r="B91" t="s">
        <v>33</v>
      </c>
      <c r="C91">
        <v>1288803</v>
      </c>
      <c r="D91" s="36">
        <v>45809</v>
      </c>
    </row>
    <row r="92" spans="1:4" x14ac:dyDescent="0.3">
      <c r="A92" t="s">
        <v>89</v>
      </c>
      <c r="B92" t="s">
        <v>33</v>
      </c>
      <c r="C92">
        <v>1564215</v>
      </c>
      <c r="D92" s="36">
        <v>45839</v>
      </c>
    </row>
    <row r="93" spans="1:4" x14ac:dyDescent="0.3">
      <c r="A93" t="s">
        <v>89</v>
      </c>
      <c r="B93" t="s">
        <v>33</v>
      </c>
      <c r="C93">
        <v>945080</v>
      </c>
      <c r="D93" s="36">
        <v>45870</v>
      </c>
    </row>
    <row r="94" spans="1:4" x14ac:dyDescent="0.3">
      <c r="A94" t="s">
        <v>89</v>
      </c>
      <c r="B94" t="s">
        <v>33</v>
      </c>
      <c r="C94">
        <v>645041</v>
      </c>
      <c r="D94" s="36">
        <v>45901</v>
      </c>
    </row>
    <row r="95" spans="1:4" x14ac:dyDescent="0.3">
      <c r="A95" t="s">
        <v>89</v>
      </c>
      <c r="B95" t="s">
        <v>33</v>
      </c>
      <c r="C95">
        <v>508502</v>
      </c>
      <c r="D95" s="36">
        <v>45931</v>
      </c>
    </row>
    <row r="96" spans="1:4" x14ac:dyDescent="0.3">
      <c r="A96" t="s">
        <v>89</v>
      </c>
      <c r="B96" t="s">
        <v>33</v>
      </c>
      <c r="C96">
        <v>580933</v>
      </c>
      <c r="D96" s="36">
        <v>45962</v>
      </c>
    </row>
    <row r="97" spans="1:4" x14ac:dyDescent="0.3">
      <c r="A97" t="s">
        <v>89</v>
      </c>
      <c r="B97" t="s">
        <v>33</v>
      </c>
      <c r="C97">
        <v>625702</v>
      </c>
      <c r="D97" s="36">
        <v>45992</v>
      </c>
    </row>
    <row r="98" spans="1:4" x14ac:dyDescent="0.3">
      <c r="A98" t="s">
        <v>88</v>
      </c>
      <c r="B98" t="s">
        <v>31</v>
      </c>
      <c r="C98">
        <v>28045</v>
      </c>
      <c r="D98" s="36">
        <v>44562</v>
      </c>
    </row>
    <row r="99" spans="1:4" x14ac:dyDescent="0.3">
      <c r="A99" t="s">
        <v>88</v>
      </c>
      <c r="B99" t="s">
        <v>31</v>
      </c>
      <c r="C99">
        <v>26936</v>
      </c>
      <c r="D99" s="36">
        <v>44593</v>
      </c>
    </row>
    <row r="100" spans="1:4" x14ac:dyDescent="0.3">
      <c r="A100" t="s">
        <v>88</v>
      </c>
      <c r="B100" t="s">
        <v>31</v>
      </c>
      <c r="C100">
        <v>35857</v>
      </c>
      <c r="D100" s="36">
        <v>44621</v>
      </c>
    </row>
    <row r="101" spans="1:4" x14ac:dyDescent="0.3">
      <c r="A101" t="s">
        <v>88</v>
      </c>
      <c r="B101" t="s">
        <v>31</v>
      </c>
      <c r="C101">
        <v>35137</v>
      </c>
      <c r="D101" s="36">
        <v>44652</v>
      </c>
    </row>
    <row r="102" spans="1:4" x14ac:dyDescent="0.3">
      <c r="A102" t="s">
        <v>88</v>
      </c>
      <c r="B102" t="s">
        <v>31</v>
      </c>
      <c r="C102">
        <v>46761</v>
      </c>
      <c r="D102" s="36">
        <v>44682</v>
      </c>
    </row>
    <row r="103" spans="1:4" x14ac:dyDescent="0.3">
      <c r="A103" t="s">
        <v>88</v>
      </c>
      <c r="B103" t="s">
        <v>31</v>
      </c>
      <c r="C103">
        <v>47003</v>
      </c>
      <c r="D103" s="36">
        <v>44713</v>
      </c>
    </row>
    <row r="104" spans="1:4" x14ac:dyDescent="0.3">
      <c r="A104" t="s">
        <v>88</v>
      </c>
      <c r="B104" t="s">
        <v>31</v>
      </c>
      <c r="C104">
        <v>37614</v>
      </c>
      <c r="D104" s="36">
        <v>44743</v>
      </c>
    </row>
    <row r="105" spans="1:4" x14ac:dyDescent="0.3">
      <c r="A105" t="s">
        <v>88</v>
      </c>
      <c r="B105" t="s">
        <v>31</v>
      </c>
      <c r="C105">
        <v>45887</v>
      </c>
      <c r="D105" s="36">
        <v>44774</v>
      </c>
    </row>
    <row r="106" spans="1:4" x14ac:dyDescent="0.3">
      <c r="A106" t="s">
        <v>88</v>
      </c>
      <c r="B106" t="s">
        <v>31</v>
      </c>
      <c r="C106">
        <v>19060</v>
      </c>
      <c r="D106" s="36">
        <v>44805</v>
      </c>
    </row>
    <row r="107" spans="1:4" x14ac:dyDescent="0.3">
      <c r="A107" t="s">
        <v>88</v>
      </c>
      <c r="B107" t="s">
        <v>31</v>
      </c>
      <c r="C107">
        <v>21487</v>
      </c>
      <c r="D107" s="36">
        <v>44835</v>
      </c>
    </row>
    <row r="108" spans="1:4" x14ac:dyDescent="0.3">
      <c r="A108" t="s">
        <v>88</v>
      </c>
      <c r="B108" t="s">
        <v>31</v>
      </c>
      <c r="C108">
        <v>24490</v>
      </c>
      <c r="D108" s="36">
        <v>44866</v>
      </c>
    </row>
    <row r="109" spans="1:4" x14ac:dyDescent="0.3">
      <c r="A109" t="s">
        <v>88</v>
      </c>
      <c r="B109" t="s">
        <v>31</v>
      </c>
      <c r="C109">
        <v>57903</v>
      </c>
      <c r="D109" s="36">
        <v>44896</v>
      </c>
    </row>
    <row r="110" spans="1:4" x14ac:dyDescent="0.3">
      <c r="A110" t="s">
        <v>88</v>
      </c>
      <c r="B110" t="s">
        <v>31</v>
      </c>
      <c r="C110">
        <v>36007</v>
      </c>
      <c r="D110" s="36">
        <v>44927</v>
      </c>
    </row>
    <row r="111" spans="1:4" x14ac:dyDescent="0.3">
      <c r="A111" t="s">
        <v>88</v>
      </c>
      <c r="B111" t="s">
        <v>31</v>
      </c>
      <c r="C111">
        <v>29319</v>
      </c>
      <c r="D111" s="36">
        <v>44958</v>
      </c>
    </row>
    <row r="112" spans="1:4" x14ac:dyDescent="0.3">
      <c r="A112" t="s">
        <v>88</v>
      </c>
      <c r="B112" t="s">
        <v>31</v>
      </c>
      <c r="C112">
        <v>28316</v>
      </c>
      <c r="D112" s="36">
        <v>44986</v>
      </c>
    </row>
    <row r="113" spans="1:4" x14ac:dyDescent="0.3">
      <c r="A113" t="s">
        <v>88</v>
      </c>
      <c r="B113" t="s">
        <v>31</v>
      </c>
      <c r="C113">
        <v>49925</v>
      </c>
      <c r="D113" s="36">
        <v>45017</v>
      </c>
    </row>
    <row r="114" spans="1:4" x14ac:dyDescent="0.3">
      <c r="A114" t="s">
        <v>88</v>
      </c>
      <c r="B114" t="s">
        <v>31</v>
      </c>
      <c r="C114">
        <v>38054</v>
      </c>
      <c r="D114" s="36">
        <v>45047</v>
      </c>
    </row>
    <row r="115" spans="1:4" x14ac:dyDescent="0.3">
      <c r="A115" t="s">
        <v>88</v>
      </c>
      <c r="B115" t="s">
        <v>31</v>
      </c>
      <c r="C115">
        <v>74564</v>
      </c>
      <c r="D115" s="36">
        <v>45078</v>
      </c>
    </row>
    <row r="116" spans="1:4" x14ac:dyDescent="0.3">
      <c r="A116" t="s">
        <v>88</v>
      </c>
      <c r="B116" t="s">
        <v>31</v>
      </c>
      <c r="C116">
        <v>69319</v>
      </c>
      <c r="D116" s="36">
        <v>45108</v>
      </c>
    </row>
    <row r="117" spans="1:4" x14ac:dyDescent="0.3">
      <c r="A117" t="s">
        <v>88</v>
      </c>
      <c r="B117" t="s">
        <v>31</v>
      </c>
      <c r="C117">
        <v>38890</v>
      </c>
      <c r="D117" s="36">
        <v>45139</v>
      </c>
    </row>
    <row r="118" spans="1:4" x14ac:dyDescent="0.3">
      <c r="A118" t="s">
        <v>88</v>
      </c>
      <c r="B118" t="s">
        <v>31</v>
      </c>
      <c r="C118">
        <v>38787</v>
      </c>
      <c r="D118" s="36">
        <v>45170</v>
      </c>
    </row>
    <row r="119" spans="1:4" x14ac:dyDescent="0.3">
      <c r="A119" t="s">
        <v>88</v>
      </c>
      <c r="B119" t="s">
        <v>31</v>
      </c>
      <c r="C119">
        <v>26096</v>
      </c>
      <c r="D119" s="36">
        <v>45200</v>
      </c>
    </row>
    <row r="120" spans="1:4" x14ac:dyDescent="0.3">
      <c r="A120" t="s">
        <v>88</v>
      </c>
      <c r="B120" t="s">
        <v>31</v>
      </c>
      <c r="C120">
        <v>19355</v>
      </c>
      <c r="D120" s="36">
        <v>45231</v>
      </c>
    </row>
    <row r="121" spans="1:4" x14ac:dyDescent="0.3">
      <c r="A121" t="s">
        <v>88</v>
      </c>
      <c r="B121" t="s">
        <v>31</v>
      </c>
      <c r="C121">
        <v>33582</v>
      </c>
      <c r="D121" s="36">
        <v>45261</v>
      </c>
    </row>
    <row r="122" spans="1:4" x14ac:dyDescent="0.3">
      <c r="A122" t="s">
        <v>88</v>
      </c>
      <c r="B122" t="s">
        <v>31</v>
      </c>
      <c r="C122">
        <v>67737</v>
      </c>
      <c r="D122" s="36">
        <v>45292</v>
      </c>
    </row>
    <row r="123" spans="1:4" x14ac:dyDescent="0.3">
      <c r="A123" t="s">
        <v>88</v>
      </c>
      <c r="B123" t="s">
        <v>31</v>
      </c>
      <c r="C123">
        <v>32590</v>
      </c>
      <c r="D123" s="36">
        <v>45323</v>
      </c>
    </row>
    <row r="124" spans="1:4" x14ac:dyDescent="0.3">
      <c r="A124" t="s">
        <v>88</v>
      </c>
      <c r="B124" t="s">
        <v>31</v>
      </c>
      <c r="C124">
        <v>29156</v>
      </c>
      <c r="D124" s="36">
        <v>45352</v>
      </c>
    </row>
    <row r="125" spans="1:4" x14ac:dyDescent="0.3">
      <c r="A125" t="s">
        <v>88</v>
      </c>
      <c r="B125" t="s">
        <v>31</v>
      </c>
      <c r="C125">
        <v>30670</v>
      </c>
      <c r="D125" s="36">
        <v>45383</v>
      </c>
    </row>
    <row r="126" spans="1:4" x14ac:dyDescent="0.3">
      <c r="A126" t="s">
        <v>88</v>
      </c>
      <c r="B126" t="s">
        <v>31</v>
      </c>
      <c r="C126">
        <v>55909</v>
      </c>
      <c r="D126" s="36">
        <v>45413</v>
      </c>
    </row>
    <row r="127" spans="1:4" x14ac:dyDescent="0.3">
      <c r="A127" t="s">
        <v>88</v>
      </c>
      <c r="B127" t="s">
        <v>31</v>
      </c>
      <c r="C127">
        <v>48004</v>
      </c>
      <c r="D127" s="36">
        <v>45444</v>
      </c>
    </row>
    <row r="128" spans="1:4" x14ac:dyDescent="0.3">
      <c r="A128" t="s">
        <v>88</v>
      </c>
      <c r="B128" t="s">
        <v>31</v>
      </c>
      <c r="C128">
        <v>56318</v>
      </c>
      <c r="D128" s="36">
        <v>45474</v>
      </c>
    </row>
    <row r="129" spans="1:4" x14ac:dyDescent="0.3">
      <c r="A129" t="s">
        <v>88</v>
      </c>
      <c r="B129" t="s">
        <v>31</v>
      </c>
      <c r="C129">
        <v>53983</v>
      </c>
      <c r="D129" s="36">
        <v>45505</v>
      </c>
    </row>
    <row r="130" spans="1:4" x14ac:dyDescent="0.3">
      <c r="A130" t="s">
        <v>88</v>
      </c>
      <c r="B130" t="s">
        <v>31</v>
      </c>
      <c r="C130">
        <v>22302</v>
      </c>
      <c r="D130" s="36">
        <v>45536</v>
      </c>
    </row>
    <row r="131" spans="1:4" x14ac:dyDescent="0.3">
      <c r="A131" t="s">
        <v>88</v>
      </c>
      <c r="B131" t="s">
        <v>31</v>
      </c>
      <c r="C131">
        <v>17862</v>
      </c>
      <c r="D131" s="36">
        <v>45566</v>
      </c>
    </row>
    <row r="132" spans="1:4" x14ac:dyDescent="0.3">
      <c r="A132" t="s">
        <v>88</v>
      </c>
      <c r="B132" t="s">
        <v>31</v>
      </c>
      <c r="C132">
        <v>27231</v>
      </c>
      <c r="D132" s="36">
        <v>45597</v>
      </c>
    </row>
    <row r="133" spans="1:4" x14ac:dyDescent="0.3">
      <c r="A133" t="s">
        <v>88</v>
      </c>
      <c r="B133" t="s">
        <v>31</v>
      </c>
      <c r="C133">
        <v>42572</v>
      </c>
      <c r="D133" s="36">
        <v>45627</v>
      </c>
    </row>
    <row r="134" spans="1:4" x14ac:dyDescent="0.3">
      <c r="A134" t="s">
        <v>89</v>
      </c>
      <c r="B134" t="s">
        <v>31</v>
      </c>
      <c r="C134">
        <v>37189</v>
      </c>
      <c r="D134" s="36">
        <v>45658</v>
      </c>
    </row>
    <row r="135" spans="1:4" x14ac:dyDescent="0.3">
      <c r="A135" t="s">
        <v>89</v>
      </c>
      <c r="B135" t="s">
        <v>31</v>
      </c>
      <c r="C135">
        <v>31099</v>
      </c>
      <c r="D135" s="36">
        <v>45689</v>
      </c>
    </row>
    <row r="136" spans="1:4" x14ac:dyDescent="0.3">
      <c r="A136" t="s">
        <v>89</v>
      </c>
      <c r="B136" t="s">
        <v>31</v>
      </c>
      <c r="C136">
        <v>32058</v>
      </c>
      <c r="D136" s="36">
        <v>45717</v>
      </c>
    </row>
    <row r="137" spans="1:4" x14ac:dyDescent="0.3">
      <c r="A137" t="s">
        <v>89</v>
      </c>
      <c r="B137" t="s">
        <v>31</v>
      </c>
      <c r="C137">
        <v>48213</v>
      </c>
      <c r="D137" s="36">
        <v>45748</v>
      </c>
    </row>
    <row r="138" spans="1:4" x14ac:dyDescent="0.3">
      <c r="A138" t="s">
        <v>89</v>
      </c>
      <c r="B138" t="s">
        <v>31</v>
      </c>
      <c r="C138">
        <v>43084</v>
      </c>
      <c r="D138" s="36">
        <v>45778</v>
      </c>
    </row>
    <row r="139" spans="1:4" x14ac:dyDescent="0.3">
      <c r="A139" t="s">
        <v>89</v>
      </c>
      <c r="B139" t="s">
        <v>31</v>
      </c>
      <c r="C139">
        <v>69597</v>
      </c>
      <c r="D139" s="36">
        <v>45809</v>
      </c>
    </row>
    <row r="140" spans="1:4" x14ac:dyDescent="0.3">
      <c r="A140" t="s">
        <v>89</v>
      </c>
      <c r="B140" t="s">
        <v>31</v>
      </c>
      <c r="C140">
        <v>64811</v>
      </c>
      <c r="D140" s="36">
        <v>45839</v>
      </c>
    </row>
    <row r="141" spans="1:4" x14ac:dyDescent="0.3">
      <c r="A141" t="s">
        <v>89</v>
      </c>
      <c r="B141" t="s">
        <v>31</v>
      </c>
      <c r="C141">
        <v>43465</v>
      </c>
      <c r="D141" s="36">
        <v>45870</v>
      </c>
    </row>
    <row r="142" spans="1:4" x14ac:dyDescent="0.3">
      <c r="A142" t="s">
        <v>89</v>
      </c>
      <c r="B142" t="s">
        <v>31</v>
      </c>
      <c r="C142">
        <v>36955</v>
      </c>
      <c r="D142" s="36">
        <v>45901</v>
      </c>
    </row>
    <row r="143" spans="1:4" x14ac:dyDescent="0.3">
      <c r="A143" t="s">
        <v>89</v>
      </c>
      <c r="B143" t="s">
        <v>31</v>
      </c>
      <c r="C143">
        <v>27647</v>
      </c>
      <c r="D143" s="36">
        <v>45931</v>
      </c>
    </row>
    <row r="144" spans="1:4" x14ac:dyDescent="0.3">
      <c r="A144" t="s">
        <v>89</v>
      </c>
      <c r="B144" t="s">
        <v>31</v>
      </c>
      <c r="C144">
        <v>23773</v>
      </c>
      <c r="D144" s="36">
        <v>45962</v>
      </c>
    </row>
    <row r="145" spans="1:4" x14ac:dyDescent="0.3">
      <c r="A145" t="s">
        <v>89</v>
      </c>
      <c r="B145" t="s">
        <v>31</v>
      </c>
      <c r="C145">
        <v>40618</v>
      </c>
      <c r="D145" s="36">
        <v>45992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0D15-E942-454E-8ED5-0C5998C1DCF4}">
  <dimension ref="A1:A5"/>
  <sheetViews>
    <sheetView workbookViewId="0">
      <selection activeCell="C2" sqref="C2"/>
    </sheetView>
  </sheetViews>
  <sheetFormatPr defaultRowHeight="14.4" x14ac:dyDescent="0.3"/>
  <sheetData>
    <row r="1" spans="1:1" x14ac:dyDescent="0.3">
      <c r="A1" t="s">
        <v>92</v>
      </c>
    </row>
    <row r="2" spans="1:1" x14ac:dyDescent="0.3">
      <c r="A2" s="10" t="s">
        <v>36</v>
      </c>
    </row>
    <row r="3" spans="1:1" x14ac:dyDescent="0.3">
      <c r="A3" s="10" t="s">
        <v>37</v>
      </c>
    </row>
    <row r="4" spans="1:1" x14ac:dyDescent="0.3">
      <c r="A4" s="10" t="s">
        <v>38</v>
      </c>
    </row>
    <row r="5" spans="1:1" x14ac:dyDescent="0.3">
      <c r="A5" s="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Optimization</vt:lpstr>
      <vt:lpstr>Presentation</vt:lpstr>
      <vt:lpstr>Linear Regression</vt:lpstr>
      <vt:lpstr>Forecast</vt:lpstr>
      <vt:lpstr>Power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Xiangwen Gao</dc:creator>
  <cp:lastModifiedBy>Karina Alfaro</cp:lastModifiedBy>
  <dcterms:created xsi:type="dcterms:W3CDTF">2025-04-03T21:58:30Z</dcterms:created>
  <dcterms:modified xsi:type="dcterms:W3CDTF">2025-04-25T18:45:37Z</dcterms:modified>
</cp:coreProperties>
</file>